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2025\"/>
    </mc:Choice>
  </mc:AlternateContent>
  <xr:revisionPtr revIDLastSave="0" documentId="13_ncr:1_{CCA07B47-182E-4237-B655-6ADA22CA6E43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Quotation new" sheetId="32" r:id="rId1"/>
    <sheet name="Sites" sheetId="30" r:id="rId2"/>
    <sheet name="Transfers" sheetId="20" r:id="rId3"/>
    <sheet name="Quotation" sheetId="29" r:id="rId4"/>
  </sheets>
  <definedNames>
    <definedName name="_xlnm.Print_Area" localSheetId="3">Quotation!$A$1:$N$44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3" i="30" l="1"/>
  <c r="C94" i="30"/>
  <c r="C95" i="30"/>
  <c r="C96" i="30"/>
  <c r="C97" i="30"/>
  <c r="C98" i="30"/>
  <c r="C99" i="30"/>
  <c r="C100" i="30"/>
  <c r="C101" i="30"/>
  <c r="C102" i="30"/>
  <c r="C103" i="30"/>
  <c r="C104" i="30"/>
  <c r="C105" i="30"/>
  <c r="C92" i="30"/>
  <c r="C91" i="30"/>
  <c r="B121" i="30"/>
  <c r="C121" i="30" s="1"/>
  <c r="I10" i="32"/>
  <c r="I11" i="32"/>
  <c r="I12" i="32"/>
  <c r="I13" i="32"/>
  <c r="I14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8" i="32"/>
  <c r="I29" i="32"/>
  <c r="I30" i="32"/>
  <c r="I31" i="32"/>
  <c r="I32" i="32"/>
  <c r="I33" i="32"/>
  <c r="I34" i="32"/>
  <c r="I35" i="32"/>
  <c r="I36" i="32"/>
  <c r="I37" i="32"/>
  <c r="I38" i="32"/>
  <c r="G11" i="32"/>
  <c r="G12" i="32"/>
  <c r="G13" i="32"/>
  <c r="G14" i="32"/>
  <c r="G15" i="32"/>
  <c r="G16" i="32"/>
  <c r="G17" i="32"/>
  <c r="G18" i="32"/>
  <c r="G19" i="32"/>
  <c r="G20" i="32"/>
  <c r="G21" i="32"/>
  <c r="G22" i="32"/>
  <c r="G23" i="32"/>
  <c r="G24" i="32"/>
  <c r="G25" i="32"/>
  <c r="G26" i="32"/>
  <c r="G27" i="32"/>
  <c r="G28" i="32"/>
  <c r="G29" i="32"/>
  <c r="G30" i="32"/>
  <c r="G31" i="32"/>
  <c r="G32" i="32"/>
  <c r="G33" i="32"/>
  <c r="G34" i="32"/>
  <c r="G35" i="32"/>
  <c r="G36" i="32"/>
  <c r="G37" i="32"/>
  <c r="G38" i="32"/>
  <c r="M11" i="32"/>
  <c r="M10" i="32"/>
  <c r="G10" i="32"/>
  <c r="H31" i="20"/>
  <c r="G31" i="20"/>
  <c r="F31" i="20"/>
  <c r="G35" i="20"/>
  <c r="H35" i="20"/>
  <c r="G36" i="20"/>
  <c r="H36" i="20"/>
  <c r="G37" i="20"/>
  <c r="H37" i="20"/>
  <c r="G38" i="20"/>
  <c r="H38" i="20"/>
  <c r="G39" i="20"/>
  <c r="H39" i="20"/>
  <c r="G40" i="20"/>
  <c r="H40" i="20"/>
  <c r="G41" i="20"/>
  <c r="H41" i="20"/>
  <c r="G42" i="20"/>
  <c r="H42" i="20"/>
  <c r="G43" i="20"/>
  <c r="H43" i="20"/>
  <c r="G44" i="20"/>
  <c r="H44" i="20"/>
  <c r="G45" i="20"/>
  <c r="H45" i="20"/>
  <c r="G46" i="20"/>
  <c r="H46" i="20"/>
  <c r="G47" i="20"/>
  <c r="H47" i="20"/>
  <c r="G48" i="20"/>
  <c r="H48" i="20"/>
  <c r="G49" i="20"/>
  <c r="H49" i="20"/>
  <c r="G50" i="20"/>
  <c r="H50" i="20"/>
  <c r="G51" i="20"/>
  <c r="H51" i="20"/>
  <c r="G52" i="20"/>
  <c r="H52" i="20"/>
  <c r="G53" i="20"/>
  <c r="H53" i="20"/>
  <c r="G54" i="20"/>
  <c r="H54" i="20"/>
  <c r="G55" i="20"/>
  <c r="H55" i="20"/>
  <c r="G56" i="20"/>
  <c r="H56" i="20"/>
  <c r="G57" i="20"/>
  <c r="H57" i="20"/>
  <c r="G58" i="20"/>
  <c r="H58" i="20"/>
  <c r="G59" i="20"/>
  <c r="H59" i="20"/>
  <c r="G60" i="20"/>
  <c r="H60" i="20"/>
  <c r="G61" i="20"/>
  <c r="H61" i="20"/>
  <c r="G62" i="20"/>
  <c r="H62" i="20"/>
  <c r="G63" i="20"/>
  <c r="H63" i="20"/>
  <c r="G64" i="20"/>
  <c r="H64" i="20"/>
  <c r="G65" i="20"/>
  <c r="H65" i="20"/>
  <c r="G66" i="20"/>
  <c r="H66" i="20"/>
  <c r="G67" i="20"/>
  <c r="H67" i="20"/>
  <c r="G68" i="20"/>
  <c r="H68" i="20"/>
  <c r="G69" i="20"/>
  <c r="H69" i="20"/>
  <c r="G70" i="20"/>
  <c r="H70" i="20"/>
  <c r="G71" i="20"/>
  <c r="H71" i="20"/>
  <c r="G72" i="20"/>
  <c r="H72" i="20"/>
  <c r="G73" i="20"/>
  <c r="H73" i="20"/>
  <c r="G74" i="20"/>
  <c r="H74" i="20"/>
  <c r="G75" i="20"/>
  <c r="H75" i="20"/>
  <c r="G76" i="20"/>
  <c r="H76" i="20"/>
  <c r="G77" i="20"/>
  <c r="H77" i="20"/>
  <c r="G78" i="20"/>
  <c r="H78" i="20"/>
  <c r="G79" i="20"/>
  <c r="H79" i="20"/>
  <c r="G80" i="20"/>
  <c r="H80" i="20"/>
  <c r="G81" i="20"/>
  <c r="H81" i="20"/>
  <c r="G82" i="20"/>
  <c r="H82" i="20"/>
  <c r="G83" i="20"/>
  <c r="H83" i="20"/>
  <c r="G84" i="20"/>
  <c r="H84" i="20"/>
  <c r="G85" i="20"/>
  <c r="H85" i="20"/>
  <c r="G86" i="20"/>
  <c r="H86" i="20"/>
  <c r="G87" i="20"/>
  <c r="H87" i="20"/>
  <c r="G88" i="20"/>
  <c r="H88" i="20"/>
  <c r="G89" i="20"/>
  <c r="H89" i="20"/>
  <c r="G90" i="20"/>
  <c r="H90" i="20"/>
  <c r="G91" i="20"/>
  <c r="H91" i="20"/>
  <c r="G92" i="20"/>
  <c r="H92" i="20"/>
  <c r="H34" i="20"/>
  <c r="G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F92" i="20"/>
  <c r="F34" i="20"/>
  <c r="H109" i="20"/>
  <c r="G109" i="20"/>
  <c r="F109" i="20"/>
  <c r="H108" i="20"/>
  <c r="G108" i="20"/>
  <c r="F108" i="20"/>
  <c r="F2" i="20"/>
  <c r="C120" i="30"/>
  <c r="C119" i="30"/>
  <c r="C118" i="30"/>
  <c r="C117" i="30"/>
  <c r="C116" i="30"/>
  <c r="C115" i="30"/>
  <c r="C114" i="30"/>
  <c r="C113" i="30"/>
  <c r="C112" i="30"/>
  <c r="C111" i="30"/>
  <c r="C110" i="30"/>
  <c r="C109" i="30"/>
  <c r="C108" i="30"/>
  <c r="H104" i="20"/>
  <c r="H100" i="20"/>
  <c r="H96" i="20"/>
  <c r="H32" i="20"/>
  <c r="H27" i="20"/>
  <c r="H23" i="20"/>
  <c r="H19" i="20"/>
  <c r="H15" i="20"/>
  <c r="H11" i="20"/>
  <c r="H7" i="20"/>
  <c r="H3" i="20"/>
  <c r="C107" i="30"/>
  <c r="C3" i="30"/>
  <c r="C4" i="30"/>
  <c r="C5" i="30"/>
  <c r="C6" i="30"/>
  <c r="C7" i="30"/>
  <c r="C8" i="30"/>
  <c r="C9" i="30"/>
  <c r="C10" i="30"/>
  <c r="C11" i="30"/>
  <c r="C12" i="30"/>
  <c r="C13" i="30"/>
  <c r="C14" i="30"/>
  <c r="C15" i="30"/>
  <c r="C16" i="30"/>
  <c r="C17" i="30"/>
  <c r="C18" i="30"/>
  <c r="C19" i="30"/>
  <c r="C20" i="30"/>
  <c r="C21" i="30"/>
  <c r="C22" i="30"/>
  <c r="C23" i="30"/>
  <c r="C24" i="30"/>
  <c r="C25" i="30"/>
  <c r="C26" i="30"/>
  <c r="C27" i="30"/>
  <c r="C28" i="30"/>
  <c r="C29" i="30"/>
  <c r="C30" i="30"/>
  <c r="C31" i="30"/>
  <c r="C32" i="30"/>
  <c r="C33" i="30"/>
  <c r="C34" i="30"/>
  <c r="C35" i="30"/>
  <c r="C36" i="30"/>
  <c r="C37" i="30"/>
  <c r="C38" i="30"/>
  <c r="C39" i="30"/>
  <c r="C40" i="30"/>
  <c r="C41" i="30"/>
  <c r="C42" i="30"/>
  <c r="C43" i="30"/>
  <c r="C44" i="30"/>
  <c r="C45" i="30"/>
  <c r="C46" i="30"/>
  <c r="C47" i="30"/>
  <c r="C48" i="30"/>
  <c r="C49" i="30"/>
  <c r="C50" i="30"/>
  <c r="C51" i="30"/>
  <c r="C52" i="30"/>
  <c r="C53" i="30"/>
  <c r="C54" i="30"/>
  <c r="C55" i="30"/>
  <c r="C56" i="30"/>
  <c r="C57" i="30"/>
  <c r="C58" i="30"/>
  <c r="C59" i="30"/>
  <c r="C60" i="30"/>
  <c r="C61" i="30"/>
  <c r="C62" i="30"/>
  <c r="C63" i="30"/>
  <c r="C64" i="30"/>
  <c r="C65" i="30"/>
  <c r="C66" i="30"/>
  <c r="C67" i="30"/>
  <c r="C68" i="30"/>
  <c r="C69" i="30"/>
  <c r="C70" i="30"/>
  <c r="C71" i="30"/>
  <c r="C72" i="30"/>
  <c r="C73" i="30"/>
  <c r="C74" i="30"/>
  <c r="C75" i="30"/>
  <c r="C76" i="30"/>
  <c r="C77" i="30"/>
  <c r="C78" i="30"/>
  <c r="C79" i="30"/>
  <c r="C80" i="30"/>
  <c r="C81" i="30"/>
  <c r="C82" i="30"/>
  <c r="C83" i="30"/>
  <c r="C84" i="30"/>
  <c r="C85" i="30"/>
  <c r="C86" i="30"/>
  <c r="C87" i="30"/>
  <c r="C88" i="30"/>
  <c r="C89" i="30"/>
  <c r="C90" i="30"/>
  <c r="C106" i="30"/>
  <c r="C2" i="30"/>
  <c r="G2" i="20"/>
  <c r="H2" i="20"/>
  <c r="G3" i="20"/>
  <c r="G4" i="20"/>
  <c r="H4" i="20"/>
  <c r="G5" i="20"/>
  <c r="H5" i="20"/>
  <c r="G6" i="20"/>
  <c r="H6" i="20"/>
  <c r="G7" i="20"/>
  <c r="G8" i="20"/>
  <c r="H8" i="20"/>
  <c r="G9" i="20"/>
  <c r="H9" i="20"/>
  <c r="G10" i="20"/>
  <c r="H10" i="20"/>
  <c r="G11" i="20"/>
  <c r="G12" i="20"/>
  <c r="H12" i="20"/>
  <c r="G13" i="20"/>
  <c r="H13" i="20"/>
  <c r="G14" i="20"/>
  <c r="H14" i="20"/>
  <c r="G15" i="20"/>
  <c r="G16" i="20"/>
  <c r="H16" i="20"/>
  <c r="G17" i="20"/>
  <c r="H17" i="20"/>
  <c r="G18" i="20"/>
  <c r="H18" i="20"/>
  <c r="G19" i="20"/>
  <c r="G20" i="20"/>
  <c r="H20" i="20"/>
  <c r="G21" i="20"/>
  <c r="H21" i="20"/>
  <c r="G22" i="20"/>
  <c r="H22" i="20"/>
  <c r="G23" i="20"/>
  <c r="G24" i="20"/>
  <c r="H24" i="20"/>
  <c r="G25" i="20"/>
  <c r="H25" i="20"/>
  <c r="G26" i="20"/>
  <c r="H26" i="20"/>
  <c r="G27" i="20"/>
  <c r="G28" i="20"/>
  <c r="H28" i="20"/>
  <c r="G29" i="20"/>
  <c r="H29" i="20"/>
  <c r="G30" i="20"/>
  <c r="H30" i="20"/>
  <c r="G32" i="20"/>
  <c r="G33" i="20"/>
  <c r="H33" i="20"/>
  <c r="G93" i="20"/>
  <c r="H93" i="20"/>
  <c r="G94" i="20"/>
  <c r="H94" i="20"/>
  <c r="G95" i="20"/>
  <c r="H95" i="20"/>
  <c r="G96" i="20"/>
  <c r="G97" i="20"/>
  <c r="H97" i="20"/>
  <c r="G98" i="20"/>
  <c r="H98" i="20"/>
  <c r="G99" i="20"/>
  <c r="H99" i="20"/>
  <c r="G100" i="20"/>
  <c r="G101" i="20"/>
  <c r="H101" i="20"/>
  <c r="G102" i="20"/>
  <c r="H102" i="20"/>
  <c r="G103" i="20"/>
  <c r="H103" i="20"/>
  <c r="G104" i="20"/>
  <c r="G105" i="20"/>
  <c r="H105" i="20"/>
  <c r="G106" i="20"/>
  <c r="H106" i="20"/>
  <c r="G107" i="20"/>
  <c r="H107" i="20"/>
  <c r="F3" i="20"/>
  <c r="F4" i="20"/>
  <c r="F5" i="20"/>
  <c r="F6" i="20"/>
  <c r="F7" i="20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2" i="20"/>
  <c r="F33" i="20"/>
  <c r="F93" i="20"/>
  <c r="F94" i="20"/>
  <c r="F95" i="20"/>
  <c r="F96" i="20"/>
  <c r="F97" i="20"/>
  <c r="F98" i="20"/>
  <c r="F99" i="20"/>
  <c r="F100" i="20"/>
  <c r="F101" i="20"/>
  <c r="F102" i="20"/>
  <c r="F103" i="20"/>
  <c r="F104" i="20"/>
  <c r="F105" i="20"/>
  <c r="F106" i="20"/>
  <c r="F107" i="20"/>
  <c r="K39" i="32" l="1"/>
  <c r="E39" i="32"/>
  <c r="F44" i="32" s="1"/>
  <c r="C39" i="32"/>
  <c r="D16" i="32"/>
  <c r="D15" i="32"/>
  <c r="D14" i="32"/>
  <c r="D13" i="32"/>
  <c r="D12" i="32"/>
  <c r="D11" i="32"/>
  <c r="N39" i="32"/>
  <c r="D10" i="32"/>
  <c r="D39" i="32" s="1"/>
  <c r="F43" i="32" s="1"/>
  <c r="C39" i="29"/>
  <c r="K39" i="29"/>
  <c r="I39" i="32" l="1"/>
  <c r="G39" i="32"/>
  <c r="M39" i="32"/>
  <c r="I11" i="29"/>
  <c r="I12" i="29"/>
  <c r="I13" i="29"/>
  <c r="I14" i="29"/>
  <c r="I15" i="29"/>
  <c r="I16" i="29"/>
  <c r="I17" i="29"/>
  <c r="I18" i="29"/>
  <c r="I19" i="29"/>
  <c r="I20" i="29"/>
  <c r="I21" i="29"/>
  <c r="I22" i="29"/>
  <c r="I23" i="29"/>
  <c r="I24" i="29"/>
  <c r="I25" i="29"/>
  <c r="I26" i="29"/>
  <c r="I27" i="29"/>
  <c r="I28" i="29"/>
  <c r="I29" i="29"/>
  <c r="I30" i="29"/>
  <c r="I31" i="29"/>
  <c r="I32" i="29"/>
  <c r="I33" i="29"/>
  <c r="I34" i="29"/>
  <c r="I35" i="29"/>
  <c r="I36" i="29"/>
  <c r="I37" i="29"/>
  <c r="I38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26" i="29"/>
  <c r="G27" i="29"/>
  <c r="G28" i="29"/>
  <c r="G29" i="29"/>
  <c r="G30" i="29"/>
  <c r="G31" i="29"/>
  <c r="G32" i="29"/>
  <c r="G33" i="29"/>
  <c r="G34" i="29"/>
  <c r="G35" i="29"/>
  <c r="G36" i="29"/>
  <c r="G37" i="29"/>
  <c r="F42" i="32" l="1"/>
  <c r="M11" i="29"/>
  <c r="M10" i="29"/>
  <c r="D11" i="29"/>
  <c r="D12" i="29"/>
  <c r="D13" i="29"/>
  <c r="D14" i="29"/>
  <c r="D15" i="29"/>
  <c r="D16" i="29"/>
  <c r="D10" i="29"/>
  <c r="M39" i="29" l="1"/>
  <c r="N39" i="29"/>
  <c r="G38" i="29"/>
  <c r="E39" i="29"/>
  <c r="F44" i="29" s="1"/>
  <c r="D39" i="29"/>
  <c r="F43" i="29" s="1"/>
  <c r="I10" i="29"/>
  <c r="G10" i="29"/>
  <c r="I39" i="29" s="1"/>
  <c r="G39" i="29" l="1"/>
  <c r="F42" i="29" s="1"/>
</calcChain>
</file>

<file path=xl/sharedStrings.xml><?xml version="1.0" encoding="utf-8"?>
<sst xmlns="http://schemas.openxmlformats.org/spreadsheetml/2006/main" count="441" uniqueCount="264">
  <si>
    <t>Group Ref. No.:</t>
  </si>
  <si>
    <r>
      <t>Arr. Date:(dd/</t>
    </r>
    <r>
      <rPr>
        <sz val="12"/>
        <color indexed="9"/>
        <rFont val="Arial"/>
        <family val="2"/>
      </rPr>
      <t>m</t>
    </r>
    <r>
      <rPr>
        <sz val="12"/>
        <color indexed="9"/>
        <rFont val="Arial"/>
        <family val="2"/>
        <charset val="178"/>
      </rPr>
      <t>mm/yy)</t>
    </r>
  </si>
  <si>
    <t>Exchange rate:</t>
  </si>
  <si>
    <t>EGP</t>
  </si>
  <si>
    <t># PAX of Group:</t>
  </si>
  <si>
    <r>
      <t>Dep. Date:(dd/</t>
    </r>
    <r>
      <rPr>
        <sz val="12"/>
        <color indexed="9"/>
        <rFont val="Arial"/>
        <family val="2"/>
      </rPr>
      <t>m</t>
    </r>
    <r>
      <rPr>
        <sz val="12"/>
        <color indexed="9"/>
        <rFont val="Arial"/>
        <family val="2"/>
        <charset val="178"/>
      </rPr>
      <t>mm/yy)</t>
    </r>
  </si>
  <si>
    <t>Estimate Profit:</t>
  </si>
  <si>
    <t>EURO</t>
  </si>
  <si>
    <t>EGYPT TOP LIGHT QUOTATION</t>
  </si>
  <si>
    <t>ACCOMMODATION</t>
  </si>
  <si>
    <t>SITES/TRIPS</t>
  </si>
  <si>
    <t>TRANSFERS</t>
  </si>
  <si>
    <t>MEALS</t>
  </si>
  <si>
    <t>SERVICES</t>
  </si>
  <si>
    <t>NIGHTS</t>
  </si>
  <si>
    <t>Rate</t>
  </si>
  <si>
    <t>Items</t>
  </si>
  <si>
    <t xml:space="preserve"> in DBL</t>
  </si>
  <si>
    <t>S. Sup.</t>
  </si>
  <si>
    <t>SUITE . Sup.</t>
  </si>
  <si>
    <t>USD</t>
  </si>
  <si>
    <t>LE</t>
  </si>
  <si>
    <t>Guide</t>
  </si>
  <si>
    <t>Rep</t>
  </si>
  <si>
    <t>QUOTATION RATE</t>
  </si>
  <si>
    <t>AMOUNT</t>
  </si>
  <si>
    <t>Prepared by OP:</t>
  </si>
  <si>
    <t xml:space="preserve"> Roqya  </t>
  </si>
  <si>
    <t>P.P IN DBL</t>
  </si>
  <si>
    <t>Dollar</t>
  </si>
  <si>
    <t>Prepared Date:</t>
  </si>
  <si>
    <t xml:space="preserve">SGL SUPPELMENT  </t>
  </si>
  <si>
    <t xml:space="preserve">SUITE SUPPL </t>
  </si>
  <si>
    <t>Site</t>
  </si>
  <si>
    <t>Price</t>
  </si>
  <si>
    <t>Citadel</t>
  </si>
  <si>
    <t>Rifa'i Mosque</t>
  </si>
  <si>
    <t>Suhaymi House</t>
  </si>
  <si>
    <t>Mohamed Ali Palace</t>
  </si>
  <si>
    <t>Senosert Obelisk</t>
  </si>
  <si>
    <t>Egyptian Museum</t>
  </si>
  <si>
    <t>Civilization Museum</t>
  </si>
  <si>
    <t>Egyptian Museum (Guide)</t>
  </si>
  <si>
    <t>Islamic Art Museum</t>
  </si>
  <si>
    <t>Coptic Museum</t>
  </si>
  <si>
    <t>Royal Carriage Museum</t>
  </si>
  <si>
    <t>Gayer Anderson Museum</t>
  </si>
  <si>
    <t>Baron Palace</t>
  </si>
  <si>
    <t>Moez Street</t>
  </si>
  <si>
    <t>Mohammed Ali Manial Palace</t>
  </si>
  <si>
    <t>Nilometer</t>
  </si>
  <si>
    <t>Pyramids</t>
  </si>
  <si>
    <t>Khufu Pyramid</t>
  </si>
  <si>
    <t>Khafra Pyramid</t>
  </si>
  <si>
    <t>Menkaure Pyramid</t>
  </si>
  <si>
    <t>Grave of Mer As Ankh</t>
  </si>
  <si>
    <t>Sakkara</t>
  </si>
  <si>
    <t>Nobles Cemetery</t>
  </si>
  <si>
    <t>South Cemetery</t>
  </si>
  <si>
    <t>All Sakkara</t>
  </si>
  <si>
    <t>Zoser Pyramid (Inside)</t>
  </si>
  <si>
    <t>Serapeum Sakkara</t>
  </si>
  <si>
    <t xml:space="preserve">Mereruka </t>
  </si>
  <si>
    <t>Dahshur</t>
  </si>
  <si>
    <t>Memphis</t>
  </si>
  <si>
    <t>Qaitbay</t>
  </si>
  <si>
    <t>Kom al Shuqafa</t>
  </si>
  <si>
    <t>Kom al Dekka</t>
  </si>
  <si>
    <t>Serapeum Alexandria</t>
  </si>
  <si>
    <t>Montazah</t>
  </si>
  <si>
    <t>Alexandria Library</t>
  </si>
  <si>
    <t>Alexandria Museum</t>
  </si>
  <si>
    <t>Royal Jewellery Museum</t>
  </si>
  <si>
    <t>Graeco-Roman Museum</t>
  </si>
  <si>
    <t>Rashid City</t>
  </si>
  <si>
    <t>Kafr El Sheikh Museum</t>
  </si>
  <si>
    <t xml:space="preserve">San Al Hajar </t>
  </si>
  <si>
    <t>Malwi Museum</t>
  </si>
  <si>
    <t>Tona El Gabal</t>
  </si>
  <si>
    <t>Bani Hassan Cemetery</t>
  </si>
  <si>
    <t>Tal Al Omrana</t>
  </si>
  <si>
    <t>Royal Cemetery Al Omrana</t>
  </si>
  <si>
    <t>Meret Amon/Ramses II Statue</t>
  </si>
  <si>
    <t>Abydoss</t>
  </si>
  <si>
    <t>Dandara</t>
  </si>
  <si>
    <t>Karnak</t>
  </si>
  <si>
    <t>Mut (Karnak)</t>
  </si>
  <si>
    <t>Luxor Temple</t>
  </si>
  <si>
    <t>Valley of Kings</t>
  </si>
  <si>
    <t>Seti I Cemetery</t>
  </si>
  <si>
    <t>Ay Cemetery</t>
  </si>
  <si>
    <t>Hatshepsut</t>
  </si>
  <si>
    <t>Der Al Madina</t>
  </si>
  <si>
    <t>Pashtu Cemetery</t>
  </si>
  <si>
    <t>Ra'muza Cemetery</t>
  </si>
  <si>
    <t>Alramseum Temple</t>
  </si>
  <si>
    <t>Abdel Karna</t>
  </si>
  <si>
    <t>Carter House</t>
  </si>
  <si>
    <t>Menena Nakht</t>
  </si>
  <si>
    <t>Seti I Temple</t>
  </si>
  <si>
    <t>Osraht - Khensu</t>
  </si>
  <si>
    <t>ElAssassif</t>
  </si>
  <si>
    <t>Esna</t>
  </si>
  <si>
    <t>Tutankhamun Cemetery</t>
  </si>
  <si>
    <t>Ramses VI</t>
  </si>
  <si>
    <t>Habo</t>
  </si>
  <si>
    <t>Valley of Queens</t>
  </si>
  <si>
    <t>Nefertari</t>
  </si>
  <si>
    <t>Khokha</t>
  </si>
  <si>
    <t>Shuroy</t>
  </si>
  <si>
    <t>Qurnet Murai</t>
  </si>
  <si>
    <t>Abdel Karna Necropolis</t>
  </si>
  <si>
    <t>Mummification</t>
  </si>
  <si>
    <t>Luxor Museum</t>
  </si>
  <si>
    <t>Abu Simbel</t>
  </si>
  <si>
    <t>Abu Simbel Celebration</t>
  </si>
  <si>
    <t>Philae</t>
  </si>
  <si>
    <t>Edfu</t>
  </si>
  <si>
    <t>Kom Ombo</t>
  </si>
  <si>
    <t>Qubet Al Hawa</t>
  </si>
  <si>
    <t>Unfinished Obelisk</t>
  </si>
  <si>
    <t xml:space="preserve">Al Kalabsha </t>
  </si>
  <si>
    <t>AlKab</t>
  </si>
  <si>
    <t>Nubian Museum</t>
  </si>
  <si>
    <t>High Dam</t>
  </si>
  <si>
    <t>Parasailing</t>
  </si>
  <si>
    <t>Submarine</t>
  </si>
  <si>
    <t>Jet Ski</t>
  </si>
  <si>
    <t>Banana Boat</t>
  </si>
  <si>
    <t>Hot Air Balloon</t>
  </si>
  <si>
    <t>King Tut Mus</t>
  </si>
  <si>
    <t>St Catherine</t>
  </si>
  <si>
    <t>Neverland with dinner</t>
  </si>
  <si>
    <t>Dolphin</t>
  </si>
  <si>
    <t>Sea Trip</t>
  </si>
  <si>
    <t>Neverland without dinner</t>
  </si>
  <si>
    <t>Quad Bike</t>
  </si>
  <si>
    <t>Dinner Cruise</t>
  </si>
  <si>
    <t>Sharm Museum</t>
  </si>
  <si>
    <t>Price (Limousine/Hiace)</t>
  </si>
  <si>
    <t>Price (Coaster)</t>
  </si>
  <si>
    <t>Price (Bus)</t>
  </si>
  <si>
    <t>Cairo apt</t>
  </si>
  <si>
    <t>Cairo apt October</t>
  </si>
  <si>
    <t>Sphinx apt</t>
  </si>
  <si>
    <t>Sphinx apt fd</t>
  </si>
  <si>
    <t>New capital apt</t>
  </si>
  <si>
    <t>New capital apt fd</t>
  </si>
  <si>
    <t>Cairo hd</t>
  </si>
  <si>
    <t>Cairo fd</t>
  </si>
  <si>
    <t>Cairo fd October</t>
  </si>
  <si>
    <t>Cairo apt + fd</t>
  </si>
  <si>
    <t>Cairo night</t>
  </si>
  <si>
    <t>Cairo open day</t>
  </si>
  <si>
    <t>Alex fd</t>
  </si>
  <si>
    <t>Ain sukhna</t>
  </si>
  <si>
    <t>Quick Alex</t>
  </si>
  <si>
    <t>Quick Sukhna</t>
  </si>
  <si>
    <t>Minya</t>
  </si>
  <si>
    <t>Oasis</t>
  </si>
  <si>
    <t>Fayoum</t>
  </si>
  <si>
    <t>Wadi Rayan</t>
  </si>
  <si>
    <t>Zafarana</t>
  </si>
  <si>
    <t>Farafra</t>
  </si>
  <si>
    <t>Hurghada</t>
  </si>
  <si>
    <t>Matrouh</t>
  </si>
  <si>
    <t>Ras Sedr</t>
  </si>
  <si>
    <t>Sharm</t>
  </si>
  <si>
    <t>Dahab</t>
  </si>
  <si>
    <t>Luxor</t>
  </si>
  <si>
    <t>Aswan</t>
  </si>
  <si>
    <t>On</t>
  </si>
  <si>
    <t>Sharm Trips</t>
  </si>
  <si>
    <t>Dep SSH</t>
  </si>
  <si>
    <t>Arr SSH</t>
  </si>
  <si>
    <t>Transfer Hotel SSH</t>
  </si>
  <si>
    <t>Dep / Arr Apt SSH ( Dahab )</t>
  </si>
  <si>
    <t>Dep + Arr Apt SSH ( Dahab )</t>
  </si>
  <si>
    <t>Dep / Arr Apt SSH ( Nuweiba )</t>
  </si>
  <si>
    <t>Dep + Arr Apt SSH ( Nuweiba )</t>
  </si>
  <si>
    <t>Dep / Arr Apt SSH ( Taba )</t>
  </si>
  <si>
    <t>Dep + Arr Apt SSH ( Taba )</t>
  </si>
  <si>
    <t>Dep + Arr APT Cairo - SSH</t>
  </si>
  <si>
    <t>Ras Mohamed Half Day ( SSH )</t>
  </si>
  <si>
    <t>Ras Mohamed Full Day ( SSH )</t>
  </si>
  <si>
    <t>RAS PARADISE</t>
  </si>
  <si>
    <t>St Catherine Moses</t>
  </si>
  <si>
    <t>Discover Dahab / Golden Dahab / Super Safari ( In Dahab )</t>
  </si>
  <si>
    <t>SHARM OVER DAY - SSHT</t>
  </si>
  <si>
    <t>Cairo O/D ( SSH )</t>
  </si>
  <si>
    <t>Cairo O/D ( Dahab )</t>
  </si>
  <si>
    <t>Cairo O/D ( Nuweiba )</t>
  </si>
  <si>
    <t>Cairo O/D ( Taba )</t>
  </si>
  <si>
    <t>Cairo O/N ( SSH )</t>
  </si>
  <si>
    <t>Cairo One Way ( SSH )</t>
  </si>
  <si>
    <t>Cairo + Alexandria O/N ( SSH )</t>
  </si>
  <si>
    <t>Jerusalem Taba O/D ( SSH )</t>
  </si>
  <si>
    <t>City Tour SSH</t>
  </si>
  <si>
    <t>Marina / Dolphin / Aqua Park / Disco / / Safari / IND Ramira / La Dolce Vita / Shuttle Bus ( One Way ) ( SSH )</t>
  </si>
  <si>
    <t>Black Pearl SSH ( 3 Ways )</t>
  </si>
  <si>
    <t>Cairo by Flight / Luxor Flight Dep</t>
  </si>
  <si>
    <t>Cairo by Flight / Luxor Flight Arr</t>
  </si>
  <si>
    <t>Bedouin Dinner ( SSH )</t>
  </si>
  <si>
    <t>Panorama with Lunch ( SSH )</t>
  </si>
  <si>
    <t>PANORAMA WITH SOHO</t>
  </si>
  <si>
    <t>Panorama / SOHO with Dinner</t>
  </si>
  <si>
    <t>Orientation SSH Full Day ( 9 HRS )</t>
  </si>
  <si>
    <t>Orientation SSH Half Day ( 6 HRS )</t>
  </si>
  <si>
    <t>Orientation SSH ( 3 HRS )</t>
  </si>
  <si>
    <t>Orientation Dahab Full Day</t>
  </si>
  <si>
    <t>Orientation Dahab Half Day</t>
  </si>
  <si>
    <t>Panorama - Dahab (Vehicle From Dahab)</t>
  </si>
  <si>
    <t>Marina / Submarine / Safari ( Two Way ) ( Dahab ) (Vehicle From Dahab)</t>
  </si>
  <si>
    <t>Marina / Submarine / Safari ( One Way ) ( Dahab ) (Vehicle From Dahab)</t>
  </si>
  <si>
    <t>Orientation Dahab Full Day (Vehicle From Dahab)</t>
  </si>
  <si>
    <t>Orientation Dahab Half Day (Vehicle From Dahab)</t>
  </si>
  <si>
    <t>Marina / Submarine / Safari ( Two Way ) ( Nuweiba ) (Vehicle From Dahab)</t>
  </si>
  <si>
    <t>Orientation Dahab Full Day ( Nuweiba )</t>
  </si>
  <si>
    <t>Orientation Dahab Half Day ( Nuweiba ) (Vehicle From Dahab)</t>
  </si>
  <si>
    <t>Marina / Submarine / Safari ( Two Way ) - (Taba ) (Vehicle From Dahab)</t>
  </si>
  <si>
    <t>Orientation Dahab Full Day ( Taba ) (Vehicle From Dahab)</t>
  </si>
  <si>
    <t>Orientation Dahab Half Day ( Taba ) (Vehicle From Dahab)</t>
  </si>
  <si>
    <t>Canyon Jeep Safari ( SSH )</t>
  </si>
  <si>
    <t>Dahab Adventure Jeep Safari ( SSH )</t>
  </si>
  <si>
    <t>Super Jeep Safari ( SSH )</t>
  </si>
  <si>
    <t>Dahab Jeep Safari ( SSH )</t>
  </si>
  <si>
    <t>Ras Mohamed Full Day Jeep ( SSH )</t>
  </si>
  <si>
    <t>Abo Galoum Jeep Safari ( SSH )</t>
  </si>
  <si>
    <t>DAHAB ZAVYOT - SSH</t>
  </si>
  <si>
    <t>Dahab ( Nuweiba ) Adventure</t>
  </si>
  <si>
    <t>Aswan Trips</t>
  </si>
  <si>
    <t>Aswan Station</t>
  </si>
  <si>
    <t>Aswan apt</t>
  </si>
  <si>
    <t>Aswan fd</t>
  </si>
  <si>
    <t>Nubian Village</t>
  </si>
  <si>
    <t>Nubian Village Visit</t>
  </si>
  <si>
    <t>Luxor Trips</t>
  </si>
  <si>
    <t>Luxor Station</t>
  </si>
  <si>
    <t>East</t>
  </si>
  <si>
    <t>West Fd</t>
  </si>
  <si>
    <t>West</t>
  </si>
  <si>
    <t>Dandara Abydoss</t>
  </si>
  <si>
    <t>Hurghada Luxor</t>
  </si>
  <si>
    <t>Luxor apt</t>
  </si>
  <si>
    <t>Transfer (After 1/6/2025)</t>
  </si>
  <si>
    <t>New Price ( After 1/11/2025)</t>
  </si>
  <si>
    <t>Transfer (After 1/11/2025)</t>
  </si>
  <si>
    <t>Aqua Park</t>
  </si>
  <si>
    <t>Tanta</t>
  </si>
  <si>
    <t>Al Azhar Mosque</t>
  </si>
  <si>
    <t>Imam Al Hussein</t>
  </si>
  <si>
    <t>Ibn Atta Allah Al Sakandary</t>
  </si>
  <si>
    <t>Sheikh Zayed Al Kawthari</t>
  </si>
  <si>
    <t>Kamal Ibn Hammam</t>
  </si>
  <si>
    <t>Al Ezz bin Abdul Salam</t>
  </si>
  <si>
    <t>El Sayeda Nafisa</t>
  </si>
  <si>
    <t>Sayeda Ruqayya</t>
  </si>
  <si>
    <t>Sayed Sakina</t>
  </si>
  <si>
    <t>Imam Shafi</t>
  </si>
  <si>
    <t>Imam Ahmed El Badawy</t>
  </si>
  <si>
    <t>Desouqi Mosque</t>
  </si>
  <si>
    <t>Luqman Al Hakim</t>
  </si>
  <si>
    <t>Grand Egyptian Museum</t>
  </si>
  <si>
    <t>Al Bahnasa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</si>
</sst>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_ ;[Red]\-0.0\ "/>
    <numFmt numFmtId="165" formatCode="[$-409]dd\-mmm\-yy;@"/>
    <numFmt numFmtId="166" formatCode="dd\-mm\-yyyy"/>
  </numFmts>
  <fonts count="27" x14ac:knownFonts="1">
    <font>
      <sz val="10"/>
      <name val="Arial"/>
      <family val="2"/>
    </font>
    <font>
      <sz val="10"/>
      <name val="Times New Roman"/>
      <family val="1"/>
      <charset val="178"/>
    </font>
    <font>
      <sz val="12"/>
      <name val="新細明體"/>
      <family val="1"/>
      <charset val="136"/>
    </font>
    <font>
      <sz val="24"/>
      <name val="Arial"/>
      <family val="2"/>
      <charset val="178"/>
    </font>
    <font>
      <b/>
      <sz val="18"/>
      <name val="Arial Black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sz val="12"/>
      <color indexed="9"/>
      <name val="Arial"/>
      <family val="2"/>
      <charset val="178"/>
    </font>
    <font>
      <sz val="12"/>
      <color indexed="9"/>
      <name val="Arial"/>
      <family val="2"/>
    </font>
    <font>
      <sz val="12"/>
      <color indexed="12"/>
      <name val="Arial"/>
      <family val="2"/>
    </font>
    <font>
      <sz val="8"/>
      <name val="Arial"/>
      <family val="2"/>
    </font>
    <font>
      <sz val="10"/>
      <name val="Arial"/>
      <family val="2"/>
      <charset val="178"/>
    </font>
    <font>
      <sz val="10"/>
      <color indexed="12"/>
      <name val="Arial"/>
      <family val="2"/>
      <charset val="178"/>
    </font>
    <font>
      <sz val="10"/>
      <name val="新細明體"/>
      <family val="1"/>
      <charset val="136"/>
    </font>
    <font>
      <b/>
      <u/>
      <sz val="12"/>
      <name val="Arial"/>
      <family val="2"/>
      <charset val="178"/>
    </font>
    <font>
      <sz val="12"/>
      <name val="Arial"/>
      <family val="2"/>
    </font>
    <font>
      <sz val="12"/>
      <color indexed="12"/>
      <name val="Arial"/>
      <family val="2"/>
      <charset val="178"/>
    </font>
    <font>
      <b/>
      <sz val="12"/>
      <name val="Arial"/>
      <family val="2"/>
    </font>
    <font>
      <sz val="10"/>
      <color indexed="12"/>
      <name val="新細明體"/>
      <family val="1"/>
      <charset val="136"/>
    </font>
    <font>
      <sz val="10"/>
      <color indexed="12"/>
      <name val="Tahoma"/>
      <family val="2"/>
    </font>
    <font>
      <b/>
      <sz val="10"/>
      <color indexed="12"/>
      <name val="Arial"/>
      <family val="2"/>
    </font>
    <font>
      <b/>
      <sz val="10"/>
      <name val="新細明體"/>
    </font>
    <font>
      <sz val="10"/>
      <color rgb="FF000000"/>
      <name val="Times New Roman"/>
      <family val="1"/>
    </font>
    <font>
      <sz val="10"/>
      <color rgb="FFFF000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u/>
      <sz val="12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/>
      <bottom style="thin">
        <color indexed="4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64"/>
      </bottom>
      <diagonal/>
    </border>
  </borders>
  <cellStyleXfs count="4">
    <xf numFmtId="0" fontId="0" fillId="0" borderId="0"/>
    <xf numFmtId="0" fontId="22" fillId="0" borderId="0"/>
    <xf numFmtId="0" fontId="1" fillId="0" borderId="0"/>
    <xf numFmtId="0" fontId="2" fillId="0" borderId="0">
      <alignment vertical="center"/>
    </xf>
  </cellStyleXfs>
  <cellXfs count="105">
    <xf numFmtId="0" fontId="0" fillId="0" borderId="0" xfId="0"/>
    <xf numFmtId="0" fontId="3" fillId="0" borderId="0" xfId="3" applyFont="1" applyAlignment="1">
      <alignment horizontal="center" vertical="center"/>
    </xf>
    <xf numFmtId="0" fontId="3" fillId="0" borderId="0" xfId="3" applyFont="1" applyAlignment="1">
      <alignment vertical="center"/>
    </xf>
    <xf numFmtId="0" fontId="5" fillId="0" borderId="0" xfId="3" applyFont="1" applyAlignment="1">
      <alignment horizontal="center" vertical="center"/>
    </xf>
    <xf numFmtId="0" fontId="5" fillId="0" borderId="0" xfId="3" applyFont="1" applyAlignment="1">
      <alignment vertical="center"/>
    </xf>
    <xf numFmtId="0" fontId="5" fillId="0" borderId="0" xfId="3" applyFont="1" applyFill="1" applyAlignment="1">
      <alignment vertical="center"/>
    </xf>
    <xf numFmtId="0" fontId="6" fillId="0" borderId="0" xfId="3" applyFont="1" applyBorder="1" applyAlignment="1">
      <alignment vertical="center"/>
    </xf>
    <xf numFmtId="0" fontId="5" fillId="0" borderId="0" xfId="3" applyFont="1" applyBorder="1" applyAlignment="1">
      <alignment vertical="center"/>
    </xf>
    <xf numFmtId="0" fontId="6" fillId="0" borderId="0" xfId="2" applyFont="1" applyFill="1" applyBorder="1"/>
    <xf numFmtId="0" fontId="5" fillId="0" borderId="0" xfId="3" applyFont="1" applyFill="1" applyBorder="1" applyAlignment="1">
      <alignment vertical="center"/>
    </xf>
    <xf numFmtId="0" fontId="2" fillId="0" borderId="0" xfId="3" applyFont="1" applyAlignment="1">
      <alignment vertical="center"/>
    </xf>
    <xf numFmtId="0" fontId="11" fillId="0" borderId="0" xfId="3" applyFont="1" applyAlignment="1">
      <alignment vertical="center"/>
    </xf>
    <xf numFmtId="0" fontId="12" fillId="0" borderId="1" xfId="2" applyFont="1" applyBorder="1"/>
    <xf numFmtId="164" fontId="12" fillId="0" borderId="2" xfId="2" applyNumberFormat="1" applyFont="1" applyBorder="1"/>
    <xf numFmtId="164" fontId="12" fillId="0" borderId="3" xfId="2" applyNumberFormat="1" applyFont="1" applyBorder="1"/>
    <xf numFmtId="0" fontId="13" fillId="0" borderId="0" xfId="3" applyFont="1" applyAlignment="1">
      <alignment vertical="center"/>
    </xf>
    <xf numFmtId="49" fontId="5" fillId="0" borderId="0" xfId="3" applyNumberFormat="1" applyFont="1" applyAlignment="1">
      <alignment vertical="center"/>
    </xf>
    <xf numFmtId="0" fontId="15" fillId="0" borderId="0" xfId="3" applyFont="1" applyAlignment="1">
      <alignment vertical="center"/>
    </xf>
    <xf numFmtId="0" fontId="5" fillId="0" borderId="0" xfId="3" applyFont="1" applyBorder="1" applyAlignment="1"/>
    <xf numFmtId="164" fontId="16" fillId="0" borderId="4" xfId="3" applyNumberFormat="1" applyFont="1" applyBorder="1" applyAlignment="1">
      <alignment horizontal="right"/>
    </xf>
    <xf numFmtId="0" fontId="15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5" fillId="0" borderId="0" xfId="3" applyFont="1" applyBorder="1" applyAlignment="1">
      <alignment horizontal="center"/>
    </xf>
    <xf numFmtId="0" fontId="11" fillId="0" borderId="0" xfId="3" applyFont="1" applyBorder="1" applyAlignment="1"/>
    <xf numFmtId="0" fontId="11" fillId="0" borderId="5" xfId="3" applyFont="1" applyBorder="1" applyAlignment="1">
      <alignment horizontal="center" vertical="center"/>
    </xf>
    <xf numFmtId="164" fontId="11" fillId="0" borderId="6" xfId="3" applyNumberFormat="1" applyFont="1" applyBorder="1" applyAlignment="1">
      <alignment horizontal="right"/>
    </xf>
    <xf numFmtId="0" fontId="11" fillId="0" borderId="0" xfId="3" applyFont="1" applyAlignment="1"/>
    <xf numFmtId="165" fontId="5" fillId="0" borderId="0" xfId="3" applyNumberFormat="1" applyFont="1" applyBorder="1" applyAlignment="1">
      <alignment vertical="center"/>
    </xf>
    <xf numFmtId="0" fontId="5" fillId="2" borderId="0" xfId="3" applyFont="1" applyFill="1" applyAlignment="1">
      <alignment vertical="center"/>
    </xf>
    <xf numFmtId="0" fontId="7" fillId="2" borderId="0" xfId="3" applyFont="1" applyFill="1" applyAlignment="1">
      <alignment horizontal="right"/>
    </xf>
    <xf numFmtId="0" fontId="8" fillId="2" borderId="0" xfId="3" applyFont="1" applyFill="1" applyAlignment="1">
      <alignment vertical="center"/>
    </xf>
    <xf numFmtId="0" fontId="8" fillId="2" borderId="0" xfId="3" applyFont="1" applyFill="1" applyAlignment="1">
      <alignment horizontal="right"/>
    </xf>
    <xf numFmtId="49" fontId="7" fillId="2" borderId="0" xfId="3" applyNumberFormat="1" applyFont="1" applyFill="1" applyAlignment="1">
      <alignment horizontal="right" vertical="center"/>
    </xf>
    <xf numFmtId="0" fontId="14" fillId="3" borderId="9" xfId="3" applyFont="1" applyFill="1" applyBorder="1" applyAlignment="1">
      <alignment horizontal="center" vertical="center"/>
    </xf>
    <xf numFmtId="0" fontId="17" fillId="3" borderId="10" xfId="3" applyFont="1" applyFill="1" applyBorder="1" applyAlignment="1">
      <alignment horizontal="center" vertical="center"/>
    </xf>
    <xf numFmtId="0" fontId="5" fillId="4" borderId="11" xfId="2" applyFont="1" applyFill="1" applyBorder="1" applyAlignment="1">
      <alignment horizontal="center"/>
    </xf>
    <xf numFmtId="0" fontId="5" fillId="4" borderId="12" xfId="2" applyFont="1" applyFill="1" applyBorder="1" applyAlignment="1">
      <alignment horizontal="center"/>
    </xf>
    <xf numFmtId="0" fontId="5" fillId="4" borderId="1" xfId="2" applyFont="1" applyFill="1" applyBorder="1" applyAlignment="1">
      <alignment horizontal="center"/>
    </xf>
    <xf numFmtId="0" fontId="10" fillId="4" borderId="12" xfId="2" applyFont="1" applyFill="1" applyBorder="1" applyAlignment="1">
      <alignment horizontal="center"/>
    </xf>
    <xf numFmtId="0" fontId="5" fillId="4" borderId="2" xfId="2" applyFont="1" applyFill="1" applyBorder="1" applyAlignment="1">
      <alignment horizontal="center"/>
    </xf>
    <xf numFmtId="0" fontId="5" fillId="4" borderId="3" xfId="2" applyFont="1" applyFill="1" applyBorder="1" applyAlignment="1">
      <alignment horizontal="center"/>
    </xf>
    <xf numFmtId="0" fontId="5" fillId="4" borderId="13" xfId="2" applyFont="1" applyFill="1" applyBorder="1" applyAlignment="1">
      <alignment horizontal="center"/>
    </xf>
    <xf numFmtId="0" fontId="11" fillId="4" borderId="14" xfId="2" applyFont="1" applyFill="1" applyBorder="1" applyAlignment="1">
      <alignment horizontal="center"/>
    </xf>
    <xf numFmtId="0" fontId="5" fillId="4" borderId="14" xfId="2" applyFont="1" applyFill="1" applyBorder="1" applyAlignment="1">
      <alignment horizontal="center"/>
    </xf>
    <xf numFmtId="0" fontId="5" fillId="4" borderId="15" xfId="2" applyFont="1" applyFill="1" applyBorder="1" applyAlignment="1">
      <alignment horizontal="center"/>
    </xf>
    <xf numFmtId="0" fontId="5" fillId="0" borderId="16" xfId="3" applyFont="1" applyBorder="1" applyAlignment="1">
      <alignment vertical="center"/>
    </xf>
    <xf numFmtId="0" fontId="5" fillId="0" borderId="16" xfId="3" applyFont="1" applyBorder="1" applyAlignment="1">
      <alignment horizontal="center" vertical="center"/>
    </xf>
    <xf numFmtId="165" fontId="5" fillId="0" borderId="16" xfId="3" applyNumberFormat="1" applyFont="1" applyBorder="1" applyAlignment="1">
      <alignment vertical="center"/>
    </xf>
    <xf numFmtId="0" fontId="9" fillId="0" borderId="0" xfId="2" applyFont="1" applyFill="1" applyBorder="1"/>
    <xf numFmtId="0" fontId="5" fillId="0" borderId="16" xfId="3" applyFont="1" applyBorder="1" applyAlignment="1">
      <alignment horizontal="right" vertical="center"/>
    </xf>
    <xf numFmtId="0" fontId="7" fillId="2" borderId="0" xfId="2" applyFont="1" applyFill="1" applyAlignment="1">
      <alignment horizontal="right"/>
    </xf>
    <xf numFmtId="0" fontId="11" fillId="2" borderId="17" xfId="2" applyFont="1" applyFill="1" applyBorder="1"/>
    <xf numFmtId="0" fontId="11" fillId="2" borderId="18" xfId="2" applyFont="1" applyFill="1" applyBorder="1"/>
    <xf numFmtId="0" fontId="11" fillId="2" borderId="19" xfId="2" applyFont="1" applyFill="1" applyBorder="1"/>
    <xf numFmtId="164" fontId="11" fillId="2" borderId="19" xfId="2" applyNumberFormat="1" applyFont="1" applyFill="1" applyBorder="1"/>
    <xf numFmtId="0" fontId="19" fillId="0" borderId="2" xfId="2" applyFont="1" applyBorder="1"/>
    <xf numFmtId="0" fontId="20" fillId="0" borderId="1" xfId="2" applyFont="1" applyBorder="1"/>
    <xf numFmtId="164" fontId="20" fillId="0" borderId="2" xfId="2" applyNumberFormat="1" applyFont="1" applyBorder="1"/>
    <xf numFmtId="0" fontId="12" fillId="0" borderId="2" xfId="2" applyFont="1" applyBorder="1"/>
    <xf numFmtId="0" fontId="21" fillId="0" borderId="0" xfId="3" applyFont="1" applyAlignment="1">
      <alignment vertical="center"/>
    </xf>
    <xf numFmtId="164" fontId="12" fillId="0" borderId="20" xfId="2" applyNumberFormat="1" applyFont="1" applyBorder="1"/>
    <xf numFmtId="0" fontId="11" fillId="2" borderId="21" xfId="2" applyFont="1" applyFill="1" applyBorder="1"/>
    <xf numFmtId="0" fontId="11" fillId="2" borderId="22" xfId="2" applyFont="1" applyFill="1" applyBorder="1"/>
    <xf numFmtId="0" fontId="12" fillId="0" borderId="20" xfId="2" applyFont="1" applyBorder="1"/>
    <xf numFmtId="0" fontId="11" fillId="2" borderId="8" xfId="2" applyFont="1" applyFill="1" applyBorder="1"/>
    <xf numFmtId="0" fontId="11" fillId="0" borderId="23" xfId="3" applyFont="1" applyBorder="1" applyAlignment="1">
      <alignment horizontal="center" vertical="center"/>
    </xf>
    <xf numFmtId="3" fontId="0" fillId="0" borderId="0" xfId="0" applyNumberFormat="1"/>
    <xf numFmtId="0" fontId="23" fillId="0" borderId="0" xfId="0" applyFont="1"/>
    <xf numFmtId="0" fontId="11" fillId="0" borderId="2" xfId="2" applyFont="1" applyBorder="1"/>
    <xf numFmtId="49" fontId="12" fillId="0" borderId="2" xfId="2" applyNumberFormat="1" applyFont="1" applyBorder="1"/>
    <xf numFmtId="0" fontId="11" fillId="0" borderId="2" xfId="2" applyFont="1" applyFill="1" applyBorder="1"/>
    <xf numFmtId="0" fontId="11" fillId="0" borderId="3" xfId="3" applyNumberFormat="1" applyFont="1" applyBorder="1" applyAlignment="1">
      <alignment horizontal="right" vertical="center"/>
    </xf>
    <xf numFmtId="0" fontId="26" fillId="5" borderId="9" xfId="3" applyFont="1" applyFill="1" applyBorder="1" applyAlignment="1">
      <alignment horizontal="center" vertical="center"/>
    </xf>
    <xf numFmtId="0" fontId="24" fillId="5" borderId="10" xfId="3" applyFont="1" applyFill="1" applyBorder="1" applyAlignment="1">
      <alignment horizontal="center" vertical="center"/>
    </xf>
    <xf numFmtId="9" fontId="0" fillId="0" borderId="0" xfId="0" applyNumberFormat="1"/>
    <xf numFmtId="14" fontId="5" fillId="0" borderId="19" xfId="3" applyNumberFormat="1" applyFont="1" applyBorder="1" applyAlignment="1">
      <alignment horizontal="left"/>
    </xf>
    <xf numFmtId="0" fontId="24" fillId="5" borderId="9" xfId="3" applyFont="1" applyFill="1" applyBorder="1" applyAlignment="1">
      <alignment horizontal="center"/>
    </xf>
    <xf numFmtId="14" fontId="11" fillId="0" borderId="24" xfId="3" applyNumberFormat="1" applyFont="1" applyBorder="1" applyAlignment="1">
      <alignment horizontal="left"/>
    </xf>
    <xf numFmtId="0" fontId="17" fillId="3" borderId="9" xfId="3" applyFont="1" applyFill="1" applyBorder="1" applyAlignment="1">
      <alignment horizontal="center"/>
    </xf>
    <xf numFmtId="2" fontId="0" fillId="0" borderId="0" xfId="0" applyNumberFormat="1"/>
    <xf numFmtId="0" fontId="4" fillId="0" borderId="0" xfId="3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5" fillId="5" borderId="35" xfId="3" applyFont="1" applyFill="1" applyBorder="1" applyAlignment="1">
      <alignment horizontal="center" vertical="center"/>
    </xf>
    <xf numFmtId="0" fontId="25" fillId="5" borderId="7" xfId="3" applyFont="1" applyFill="1" applyBorder="1" applyAlignment="1">
      <alignment horizontal="center" vertical="center"/>
    </xf>
    <xf numFmtId="0" fontId="25" fillId="5" borderId="36" xfId="3" applyFont="1" applyFill="1" applyBorder="1" applyAlignment="1">
      <alignment horizontal="center" vertical="center"/>
    </xf>
    <xf numFmtId="0" fontId="25" fillId="5" borderId="8" xfId="3" applyFont="1" applyFill="1" applyBorder="1" applyAlignment="1">
      <alignment horizontal="center" vertical="center"/>
    </xf>
    <xf numFmtId="0" fontId="6" fillId="4" borderId="33" xfId="2" applyFont="1" applyFill="1" applyBorder="1" applyAlignment="1">
      <alignment horizontal="center"/>
    </xf>
    <xf numFmtId="0" fontId="6" fillId="4" borderId="27" xfId="2" applyFont="1" applyFill="1" applyBorder="1" applyAlignment="1">
      <alignment horizontal="center"/>
    </xf>
    <xf numFmtId="0" fontId="6" fillId="4" borderId="34" xfId="2" applyFont="1" applyFill="1" applyBorder="1" applyAlignment="1">
      <alignment horizontal="center"/>
    </xf>
    <xf numFmtId="0" fontId="6" fillId="4" borderId="32" xfId="2" applyFont="1" applyFill="1" applyBorder="1" applyAlignment="1">
      <alignment horizontal="center"/>
    </xf>
    <xf numFmtId="0" fontId="6" fillId="4" borderId="26" xfId="2" applyFont="1" applyFill="1" applyBorder="1" applyAlignment="1">
      <alignment horizontal="center"/>
    </xf>
    <xf numFmtId="0" fontId="6" fillId="4" borderId="28" xfId="2" applyFont="1" applyFill="1" applyBorder="1" applyAlignment="1">
      <alignment horizontal="center"/>
    </xf>
    <xf numFmtId="14" fontId="5" fillId="0" borderId="17" xfId="3" applyNumberFormat="1" applyFont="1" applyBorder="1" applyAlignment="1">
      <alignment horizontal="left"/>
    </xf>
    <xf numFmtId="14" fontId="5" fillId="0" borderId="19" xfId="3" applyNumberFormat="1" applyFont="1" applyBorder="1" applyAlignment="1">
      <alignment horizontal="left"/>
    </xf>
    <xf numFmtId="0" fontId="5" fillId="4" borderId="29" xfId="2" applyFont="1" applyFill="1" applyBorder="1" applyAlignment="1">
      <alignment horizontal="center"/>
    </xf>
    <xf numFmtId="0" fontId="5" fillId="4" borderId="5" xfId="2" applyFont="1" applyFill="1" applyBorder="1" applyAlignment="1">
      <alignment horizontal="center"/>
    </xf>
    <xf numFmtId="0" fontId="5" fillId="4" borderId="23" xfId="2" applyFont="1" applyFill="1" applyBorder="1" applyAlignment="1">
      <alignment horizontal="center"/>
    </xf>
    <xf numFmtId="0" fontId="5" fillId="4" borderId="30" xfId="2" applyFont="1" applyFill="1" applyBorder="1" applyAlignment="1">
      <alignment horizontal="center"/>
    </xf>
    <xf numFmtId="0" fontId="24" fillId="5" borderId="31" xfId="3" applyFont="1" applyFill="1" applyBorder="1" applyAlignment="1">
      <alignment horizontal="center"/>
    </xf>
    <xf numFmtId="0" fontId="24" fillId="5" borderId="9" xfId="3" applyFont="1" applyFill="1" applyBorder="1" applyAlignment="1">
      <alignment horizontal="center"/>
    </xf>
    <xf numFmtId="14" fontId="11" fillId="0" borderId="25" xfId="3" applyNumberFormat="1" applyFont="1" applyBorder="1" applyAlignment="1">
      <alignment horizontal="left"/>
    </xf>
    <xf numFmtId="14" fontId="11" fillId="0" borderId="24" xfId="3" applyNumberFormat="1" applyFont="1" applyBorder="1" applyAlignment="1">
      <alignment horizontal="left"/>
    </xf>
    <xf numFmtId="166" fontId="18" fillId="0" borderId="32" xfId="3" applyNumberFormat="1" applyFont="1" applyBorder="1" applyAlignment="1">
      <alignment horizontal="left" vertical="center"/>
    </xf>
    <xf numFmtId="0" fontId="17" fillId="3" borderId="31" xfId="3" applyFont="1" applyFill="1" applyBorder="1" applyAlignment="1">
      <alignment horizontal="center"/>
    </xf>
    <xf numFmtId="0" fontId="17" fillId="3" borderId="9" xfId="3" applyFont="1" applyFill="1" applyBorder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Advanced_Quotation" xfId="2" xr:uid="{00000000-0005-0000-0000-000002000000}"/>
    <cellStyle name="Normal_BST Chinese Dep. WS04-QT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4"/>
  <sheetViews>
    <sheetView showGridLines="0" zoomScale="85" zoomScaleNormal="85" workbookViewId="0">
      <selection activeCell="H10" sqref="H10"/>
    </sheetView>
  </sheetViews>
  <sheetFormatPr defaultRowHeight="12.75" x14ac:dyDescent="0.2"/>
  <cols>
    <col min="2" max="2" width="15.7109375" customWidth="1"/>
    <col min="3" max="3" width="17.42578125" bestFit="1" customWidth="1"/>
    <col min="4" max="4" width="13.7109375" customWidth="1"/>
    <col min="5" max="5" width="9.28515625" bestFit="1" customWidth="1"/>
    <col min="6" max="6" width="25.140625" bestFit="1" customWidth="1"/>
    <col min="7" max="7" width="12" bestFit="1" customWidth="1"/>
    <col min="8" max="8" width="25.85546875" customWidth="1"/>
    <col min="9" max="9" width="24.85546875" bestFit="1" customWidth="1"/>
    <col min="10" max="10" width="12.42578125" bestFit="1" customWidth="1"/>
    <col min="11" max="11" width="24.140625" customWidth="1"/>
    <col min="12" max="12" width="16.28515625" bestFit="1" customWidth="1"/>
    <col min="13" max="13" width="9.28515625" bestFit="1" customWidth="1"/>
    <col min="14" max="14" width="7.28515625" bestFit="1" customWidth="1"/>
  </cols>
  <sheetData>
    <row r="1" spans="1:14" ht="30" x14ac:dyDescent="0.2">
      <c r="A1" s="1"/>
      <c r="B1" s="80"/>
      <c r="C1" s="80"/>
      <c r="D1" s="80"/>
      <c r="E1" s="80"/>
      <c r="F1" s="81"/>
      <c r="G1" s="81"/>
      <c r="H1" s="2"/>
      <c r="I1" s="2"/>
      <c r="J1" s="2"/>
      <c r="K1" s="2"/>
      <c r="L1" s="2"/>
      <c r="M1" s="2"/>
      <c r="N1" s="2"/>
    </row>
    <row r="2" spans="1:14" ht="15.75" x14ac:dyDescent="0.2">
      <c r="A2" s="3"/>
      <c r="B2" s="30"/>
      <c r="C2" s="31" t="s">
        <v>0</v>
      </c>
      <c r="D2" s="31"/>
      <c r="E2" s="45"/>
      <c r="F2" s="46"/>
      <c r="G2" s="5"/>
      <c r="H2" s="28"/>
      <c r="I2" s="32" t="s">
        <v>1</v>
      </c>
      <c r="J2" s="47">
        <v>45962</v>
      </c>
      <c r="K2" s="3"/>
      <c r="L2" s="29" t="s">
        <v>2</v>
      </c>
      <c r="M2" s="49">
        <v>47.7</v>
      </c>
      <c r="N2" s="6" t="s">
        <v>3</v>
      </c>
    </row>
    <row r="3" spans="1:14" ht="16.5" thickBot="1" x14ac:dyDescent="0.3">
      <c r="A3" s="4"/>
      <c r="B3" s="30"/>
      <c r="C3" s="31" t="s">
        <v>4</v>
      </c>
      <c r="D3" s="31"/>
      <c r="E3" s="7">
        <v>1</v>
      </c>
      <c r="F3" s="6"/>
      <c r="G3" s="5"/>
      <c r="H3" s="28"/>
      <c r="I3" s="32" t="s">
        <v>5</v>
      </c>
      <c r="J3" s="27">
        <v>45962</v>
      </c>
      <c r="K3" s="7"/>
      <c r="L3" s="50" t="s">
        <v>6</v>
      </c>
      <c r="M3" s="48"/>
      <c r="N3" s="8" t="s">
        <v>7</v>
      </c>
    </row>
    <row r="4" spans="1:14" ht="15" x14ac:dyDescent="0.2">
      <c r="A4" s="4"/>
      <c r="B4" s="82" t="s">
        <v>8</v>
      </c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</row>
    <row r="5" spans="1:14" ht="15.75" thickBot="1" x14ac:dyDescent="0.25">
      <c r="A5" s="4"/>
      <c r="B5" s="84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</row>
    <row r="6" spans="1:14" ht="15.75" x14ac:dyDescent="0.25">
      <c r="A6" s="5"/>
      <c r="B6" s="86" t="s">
        <v>9</v>
      </c>
      <c r="C6" s="87"/>
      <c r="D6" s="87"/>
      <c r="E6" s="88"/>
      <c r="F6" s="87" t="s">
        <v>10</v>
      </c>
      <c r="G6" s="89"/>
      <c r="H6" s="90" t="s">
        <v>11</v>
      </c>
      <c r="I6" s="88"/>
      <c r="J6" s="87" t="s">
        <v>12</v>
      </c>
      <c r="K6" s="87"/>
      <c r="L6" s="90" t="s">
        <v>13</v>
      </c>
      <c r="M6" s="87"/>
      <c r="N6" s="91"/>
    </row>
    <row r="7" spans="1:14" ht="15" x14ac:dyDescent="0.2">
      <c r="A7" s="4"/>
      <c r="B7" s="35" t="s">
        <v>14</v>
      </c>
      <c r="C7" s="94" t="s">
        <v>15</v>
      </c>
      <c r="D7" s="95"/>
      <c r="E7" s="96"/>
      <c r="F7" s="36" t="s">
        <v>16</v>
      </c>
      <c r="G7" s="36" t="s">
        <v>15</v>
      </c>
      <c r="H7" s="36" t="s">
        <v>16</v>
      </c>
      <c r="I7" s="36" t="s">
        <v>15</v>
      </c>
      <c r="J7" s="36" t="s">
        <v>16</v>
      </c>
      <c r="K7" s="36" t="s">
        <v>15</v>
      </c>
      <c r="L7" s="36" t="s">
        <v>16</v>
      </c>
      <c r="M7" s="94" t="s">
        <v>15</v>
      </c>
      <c r="N7" s="97"/>
    </row>
    <row r="8" spans="1:14" ht="15" x14ac:dyDescent="0.2">
      <c r="A8" s="4"/>
      <c r="B8" s="37"/>
      <c r="C8" s="38" t="s">
        <v>17</v>
      </c>
      <c r="D8" s="38" t="s">
        <v>18</v>
      </c>
      <c r="E8" s="38" t="s">
        <v>19</v>
      </c>
      <c r="F8" s="39"/>
      <c r="G8" s="39"/>
      <c r="H8" s="39"/>
      <c r="I8" s="39"/>
      <c r="J8" s="39"/>
      <c r="K8" s="39"/>
      <c r="L8" s="39"/>
      <c r="M8" s="39"/>
      <c r="N8" s="40"/>
    </row>
    <row r="9" spans="1:14" ht="15.75" thickBot="1" x14ac:dyDescent="0.25">
      <c r="A9" s="4"/>
      <c r="B9" s="41"/>
      <c r="C9" s="42" t="s">
        <v>20</v>
      </c>
      <c r="D9" s="42" t="s">
        <v>20</v>
      </c>
      <c r="E9" s="42" t="s">
        <v>20</v>
      </c>
      <c r="F9" s="43"/>
      <c r="G9" s="43" t="s">
        <v>21</v>
      </c>
      <c r="H9" s="43"/>
      <c r="I9" s="43" t="s">
        <v>21</v>
      </c>
      <c r="J9" s="43"/>
      <c r="K9" s="43" t="s">
        <v>21</v>
      </c>
      <c r="L9" s="43"/>
      <c r="M9" s="43" t="s">
        <v>21</v>
      </c>
      <c r="N9" s="44" t="s">
        <v>20</v>
      </c>
    </row>
    <row r="10" spans="1:14" ht="13.5" thickTop="1" x14ac:dyDescent="0.2">
      <c r="A10" s="11"/>
      <c r="B10" s="12"/>
      <c r="C10" s="11"/>
      <c r="D10" s="13" t="str">
        <f>IF(C10="","",C10*0.7)</f>
        <v/>
      </c>
      <c r="E10" s="13"/>
      <c r="F10" s="58"/>
      <c r="G10" s="13" t="str">
        <f>IF(F10=""," ",IF(J$2&gt;=DATE(2025,11,1),VLOOKUP(F10,Sites!$A:$C,3,FALSE),VLOOKUP(F10,Sites!$A:$B,2,FALSE)))</f>
        <v xml:space="preserve"> </v>
      </c>
      <c r="I10" s="13" t="str">
        <f>IF(H10="","",IF(J2&lt;DATE(2025,11,1),IF(E$3&lt;=7,VLOOKUP(H10,Transfers!$A:$D,2,FALSE),
IF(E$3&lt;=15,VLOOKUP(H10,Transfers!$A:$D,3,FALSE),
VLOOKUP(H10,Transfers!$A:$D,4,FALSE))),IF(E$3&lt;=7,VLOOKUP(H10,Transfers!$E:$H,2,FALSE),
IF(E$3&lt;=15,VLOOKUP(H10,Transfers!$E:$H,3,FALSE),
VLOOKUP(H10,Transfers!$E:$H,4,FALSE)))))</f>
        <v/>
      </c>
      <c r="J10" s="58"/>
      <c r="K10" s="13"/>
      <c r="L10" s="58" t="s">
        <v>22</v>
      </c>
      <c r="M10" s="13">
        <f>(J3-J2)*2000</f>
        <v>0</v>
      </c>
      <c r="N10" s="14"/>
    </row>
    <row r="11" spans="1:14" x14ac:dyDescent="0.2">
      <c r="A11" s="11"/>
      <c r="B11" s="12"/>
      <c r="C11" s="13"/>
      <c r="D11" s="13" t="str">
        <f t="shared" ref="D11:D16" si="0">IF(C11="","",C11*0.7)</f>
        <v/>
      </c>
      <c r="E11" s="13"/>
      <c r="G11" s="13" t="str">
        <f>IF(F11=""," ",IF(J$2&gt;=DATE(2025,11,1),VLOOKUP(F11,Sites!$A:$C,3,FALSE),VLOOKUP(F11,Sites!$A:$B,2,FALSE)))</f>
        <v xml:space="preserve"> </v>
      </c>
      <c r="H11" s="58"/>
      <c r="I11" s="13" t="str">
        <f>IF(H11="","",IF(J3&lt;DATE(2025,11,1),IF(E$3&lt;=7,VLOOKUP(H11,Transfers!$A:$D,2,FALSE),
IF(E$3&lt;=15,VLOOKUP(H11,Transfers!$A:$D,3,FALSE),
VLOOKUP(H11,Transfers!$A:$D,4,FALSE))),IF(E$3&lt;=7,VLOOKUP(H11,Transfers!$E:$H,2,FALSE),
IF(E$3&lt;=15,VLOOKUP(H11,Transfers!$E:$H,3,FALSE),
VLOOKUP(H11,Transfers!$E:$H,4,FALSE)))))</f>
        <v/>
      </c>
      <c r="J11" s="58"/>
      <c r="K11" s="13"/>
      <c r="L11" s="55" t="s">
        <v>23</v>
      </c>
      <c r="M11" s="13">
        <f>(J3-J2)*400</f>
        <v>0</v>
      </c>
      <c r="N11" s="14"/>
    </row>
    <row r="12" spans="1:14" x14ac:dyDescent="0.2">
      <c r="A12" s="11"/>
      <c r="B12" s="11"/>
      <c r="C12" s="11"/>
      <c r="D12" s="13" t="str">
        <f t="shared" si="0"/>
        <v/>
      </c>
      <c r="E12" s="13"/>
      <c r="F12" s="58"/>
      <c r="G12" s="13" t="str">
        <f>IF(F12=""," ",IF(J$2&gt;=DATE(2025,11,1),VLOOKUP(F12,Sites!$A:$C,3,FALSE),VLOOKUP(F12,Sites!$A:$B,2,FALSE)))</f>
        <v xml:space="preserve"> </v>
      </c>
      <c r="H12" s="11"/>
      <c r="I12" s="13" t="str">
        <f>IF(H12="","",IF(J4&lt;DATE(2025,11,1),IF(E$3&lt;=7,VLOOKUP(H12,Transfers!$A:$D,2,FALSE),
IF(E$3&lt;=15,VLOOKUP(H12,Transfers!$A:$D,3,FALSE),
VLOOKUP(H12,Transfers!$A:$D,4,FALSE))),IF(E$3&lt;=7,VLOOKUP(H12,Transfers!$E:$H,2,FALSE),
IF(E$3&lt;=15,VLOOKUP(H12,Transfers!$E:$H,3,FALSE),
VLOOKUP(H12,Transfers!$E:$H,4,FALSE)))))</f>
        <v/>
      </c>
      <c r="J12" s="58"/>
      <c r="K12" s="13"/>
      <c r="L12" s="55"/>
      <c r="M12" s="13"/>
      <c r="N12" s="14"/>
    </row>
    <row r="13" spans="1:14" x14ac:dyDescent="0.2">
      <c r="A13" s="11"/>
      <c r="B13" s="11"/>
      <c r="C13" s="11"/>
      <c r="D13" s="13" t="str">
        <f t="shared" si="0"/>
        <v/>
      </c>
      <c r="E13" s="13"/>
      <c r="F13" s="58"/>
      <c r="G13" s="13" t="str">
        <f>IF(F13=""," ",IF(J$2&gt;=DATE(2025,11,1),VLOOKUP(F13,Sites!$A:$C,3,FALSE),VLOOKUP(F13,Sites!$A:$B,2,FALSE)))</f>
        <v xml:space="preserve"> </v>
      </c>
      <c r="H13" s="11"/>
      <c r="I13" s="13" t="str">
        <f>IF(H13="","",IF(J5&lt;DATE(2025,11,1),IF(E$3&lt;=7,VLOOKUP(H13,Transfers!$A:$D,2,FALSE),
IF(E$3&lt;=15,VLOOKUP(H13,Transfers!$A:$D,3,FALSE),
VLOOKUP(H13,Transfers!$A:$D,4,FALSE))),IF(E$3&lt;=7,VLOOKUP(H13,Transfers!$E:$H,2,FALSE),
IF(E$3&lt;=15,VLOOKUP(H13,Transfers!$E:$H,3,FALSE),
VLOOKUP(H13,Transfers!$E:$H,4,FALSE)))))</f>
        <v/>
      </c>
      <c r="J13" s="58"/>
      <c r="K13" s="13"/>
      <c r="L13" s="55"/>
      <c r="M13" s="13"/>
      <c r="N13" s="14"/>
    </row>
    <row r="14" spans="1:14" x14ac:dyDescent="0.2">
      <c r="A14" s="11"/>
      <c r="B14" s="12"/>
      <c r="C14" s="13"/>
      <c r="D14" s="13" t="str">
        <f t="shared" si="0"/>
        <v/>
      </c>
      <c r="E14" s="13"/>
      <c r="F14" s="11"/>
      <c r="G14" s="13" t="str">
        <f>IF(F14=""," ",IF(J$2&gt;=DATE(2025,11,1),VLOOKUP(F14,Sites!$A:$C,3,FALSE),VLOOKUP(F14,Sites!$A:$B,2,FALSE)))</f>
        <v xml:space="preserve"> </v>
      </c>
      <c r="H14" s="58"/>
      <c r="I14" s="13" t="str">
        <f>IF(H14="","",IF(J6&lt;DATE(2025,11,1),IF(E$3&lt;=7,VLOOKUP(H14,Transfers!$A:$D,2,FALSE),
IF(E$3&lt;=15,VLOOKUP(H14,Transfers!$A:$D,3,FALSE),
VLOOKUP(H14,Transfers!$A:$D,4,FALSE))),IF(E$3&lt;=7,VLOOKUP(H14,Transfers!$E:$H,2,FALSE),
IF(E$3&lt;=15,VLOOKUP(H14,Transfers!$E:$H,3,FALSE),
VLOOKUP(H14,Transfers!$E:$H,4,FALSE)))))</f>
        <v/>
      </c>
      <c r="J14" s="58"/>
      <c r="K14" s="13"/>
      <c r="L14" s="55"/>
      <c r="M14" s="13"/>
      <c r="N14" s="14"/>
    </row>
    <row r="15" spans="1:14" x14ac:dyDescent="0.2">
      <c r="A15" s="11"/>
      <c r="B15" s="12"/>
      <c r="C15" s="13"/>
      <c r="D15" s="13" t="str">
        <f t="shared" si="0"/>
        <v/>
      </c>
      <c r="E15" s="13"/>
      <c r="F15" s="69"/>
      <c r="G15" s="13" t="str">
        <f>IF(F15=""," ",IF(J$2&gt;=DATE(2025,11,1),VLOOKUP(F15,Sites!$A:$C,3,FALSE),VLOOKUP(F15,Sites!$A:$B,2,FALSE)))</f>
        <v xml:space="preserve"> </v>
      </c>
      <c r="H15" s="58"/>
      <c r="I15" s="13" t="str">
        <f>IF(H15="","",IF(J7&lt;DATE(2025,11,1),IF(E$3&lt;=7,VLOOKUP(H15,Transfers!$A:$D,2,FALSE),
IF(E$3&lt;=15,VLOOKUP(H15,Transfers!$A:$D,3,FALSE),
VLOOKUP(H15,Transfers!$A:$D,4,FALSE))),IF(E$3&lt;=7,VLOOKUP(H15,Transfers!$E:$H,2,FALSE),
IF(E$3&lt;=15,VLOOKUP(H15,Transfers!$E:$H,3,FALSE),
VLOOKUP(H15,Transfers!$E:$H,4,FALSE)))))</f>
        <v/>
      </c>
      <c r="J15" s="58"/>
      <c r="K15" s="13"/>
      <c r="L15" s="58"/>
      <c r="M15" s="11"/>
      <c r="N15" s="14"/>
    </row>
    <row r="16" spans="1:14" x14ac:dyDescent="0.2">
      <c r="A16" s="11"/>
      <c r="B16" s="12"/>
      <c r="C16" s="13"/>
      <c r="D16" s="13" t="str">
        <f t="shared" si="0"/>
        <v/>
      </c>
      <c r="E16" s="13"/>
      <c r="F16" s="58"/>
      <c r="G16" s="13" t="str">
        <f>IF(F16=""," ",IF(J$2&gt;=DATE(2025,11,1),VLOOKUP(F16,Sites!$A:$C,3,FALSE),VLOOKUP(F16,Sites!$A:$B,2,FALSE)))</f>
        <v xml:space="preserve"> </v>
      </c>
      <c r="H16" s="58"/>
      <c r="I16" s="13" t="str">
        <f>IF(H16="","",IF(J8&lt;DATE(2025,11,1),IF(E$3&lt;=7,VLOOKUP(H16,Transfers!$A:$D,2,FALSE),
IF(E$3&lt;=15,VLOOKUP(H16,Transfers!$A:$D,3,FALSE),
VLOOKUP(H16,Transfers!$A:$D,4,FALSE))),IF(E$3&lt;=7,VLOOKUP(H16,Transfers!$E:$H,2,FALSE),
IF(E$3&lt;=15,VLOOKUP(H16,Transfers!$E:$H,3,FALSE),
VLOOKUP(H16,Transfers!$E:$H,4,FALSE)))))</f>
        <v/>
      </c>
      <c r="J16" s="58"/>
      <c r="K16" s="13"/>
      <c r="L16" s="58"/>
      <c r="M16" s="13"/>
      <c r="N16" s="14"/>
    </row>
    <row r="17" spans="1:14" x14ac:dyDescent="0.2">
      <c r="A17" s="11"/>
      <c r="B17" s="12"/>
      <c r="C17" s="13"/>
      <c r="D17" s="13"/>
      <c r="E17" s="13"/>
      <c r="F17" s="58"/>
      <c r="G17" s="13" t="str">
        <f>IF(F17=""," ",IF(J$2&gt;=DATE(2025,11,1),VLOOKUP(F17,Sites!$A:$C,3,FALSE),VLOOKUP(F17,Sites!$A:$B,2,FALSE)))</f>
        <v xml:space="preserve"> </v>
      </c>
      <c r="H17" s="11"/>
      <c r="I17" s="13" t="str">
        <f>IF(H17="","",IF(J9&lt;DATE(2025,11,1),IF(E$3&lt;=7,VLOOKUP(H17,Transfers!$A:$D,2,FALSE),
IF(E$3&lt;=15,VLOOKUP(H17,Transfers!$A:$D,3,FALSE),
VLOOKUP(H17,Transfers!$A:$D,4,FALSE))),IF(E$3&lt;=7,VLOOKUP(H17,Transfers!$E:$H,2,FALSE),
IF(E$3&lt;=15,VLOOKUP(H17,Transfers!$E:$H,3,FALSE),
VLOOKUP(H17,Transfers!$E:$H,4,FALSE)))))</f>
        <v/>
      </c>
      <c r="J17" s="58"/>
      <c r="K17" s="13"/>
      <c r="L17" s="58"/>
      <c r="M17" s="13"/>
      <c r="N17" s="14"/>
    </row>
    <row r="18" spans="1:14" x14ac:dyDescent="0.2">
      <c r="A18" s="11"/>
      <c r="B18" s="12"/>
      <c r="C18" s="13"/>
      <c r="D18" s="13"/>
      <c r="E18" s="13"/>
      <c r="F18" s="58"/>
      <c r="G18" s="13" t="str">
        <f>IF(F18=""," ",IF(J$2&gt;=DATE(2025,11,1),VLOOKUP(F18,Sites!$A:$C,3,FALSE),VLOOKUP(F18,Sites!$A:$B,2,FALSE)))</f>
        <v xml:space="preserve"> </v>
      </c>
      <c r="H18" s="58"/>
      <c r="I18" s="13" t="str">
        <f>IF(H18="","",IF(J10&lt;DATE(2025,11,1),IF(E$3&lt;=7,VLOOKUP(H18,Transfers!$A:$D,2,FALSE),
IF(E$3&lt;=15,VLOOKUP(H18,Transfers!$A:$D,3,FALSE),
VLOOKUP(H18,Transfers!$A:$D,4,FALSE))),IF(E$3&lt;=7,VLOOKUP(H18,Transfers!$E:$H,2,FALSE),
IF(E$3&lt;=15,VLOOKUP(H18,Transfers!$E:$H,3,FALSE),
VLOOKUP(H18,Transfers!$E:$H,4,FALSE)))))</f>
        <v/>
      </c>
      <c r="J18" s="58"/>
      <c r="K18" s="13"/>
      <c r="L18" s="58"/>
      <c r="M18" s="13"/>
      <c r="N18" s="14"/>
    </row>
    <row r="19" spans="1:14" x14ac:dyDescent="0.2">
      <c r="A19" s="11"/>
      <c r="B19" s="12"/>
      <c r="C19" s="13"/>
      <c r="D19" s="13"/>
      <c r="E19" s="13"/>
      <c r="F19" s="11"/>
      <c r="G19" s="13" t="str">
        <f>IF(F19=""," ",IF(J$2&gt;=DATE(2025,11,1),VLOOKUP(F19,Sites!$A:$C,3,FALSE),VLOOKUP(F19,Sites!$A:$B,2,FALSE)))</f>
        <v xml:space="preserve"> </v>
      </c>
      <c r="H19" s="58"/>
      <c r="I19" s="13" t="str">
        <f>IF(H19="","",IF(J11&lt;DATE(2025,11,1),IF(E$3&lt;=7,VLOOKUP(H19,Transfers!$A:$D,2,FALSE),
IF(E$3&lt;=15,VLOOKUP(H19,Transfers!$A:$D,3,FALSE),
VLOOKUP(H19,Transfers!$A:$D,4,FALSE))),IF(E$3&lt;=7,VLOOKUP(H19,Transfers!$E:$H,2,FALSE),
IF(E$3&lt;=15,VLOOKUP(H19,Transfers!$E:$H,3,FALSE),
VLOOKUP(H19,Transfers!$E:$H,4,FALSE)))))</f>
        <v/>
      </c>
      <c r="J19" s="58"/>
      <c r="K19" s="13"/>
      <c r="L19" s="58"/>
      <c r="M19" s="13"/>
      <c r="N19" s="14"/>
    </row>
    <row r="20" spans="1:14" x14ac:dyDescent="0.2">
      <c r="A20" s="11"/>
      <c r="B20" s="56"/>
      <c r="C20" s="57"/>
      <c r="D20" s="57"/>
      <c r="E20" s="13"/>
      <c r="F20" s="58"/>
      <c r="G20" s="13" t="str">
        <f>IF(F20=""," ",IF(J$2&gt;=DATE(2025,11,1),VLOOKUP(F20,Sites!$A:$C,3,FALSE),VLOOKUP(F20,Sites!$A:$B,2,FALSE)))</f>
        <v xml:space="preserve"> </v>
      </c>
      <c r="H20" s="58"/>
      <c r="I20" s="13" t="str">
        <f>IF(H20="","",IF(J12&lt;DATE(2025,11,1),IF(E$3&lt;=7,VLOOKUP(H20,Transfers!$A:$D,2,FALSE),
IF(E$3&lt;=15,VLOOKUP(H20,Transfers!$A:$D,3,FALSE),
VLOOKUP(H20,Transfers!$A:$D,4,FALSE))),IF(E$3&lt;=7,VLOOKUP(H20,Transfers!$E:$H,2,FALSE),
IF(E$3&lt;=15,VLOOKUP(H20,Transfers!$E:$H,3,FALSE),
VLOOKUP(H20,Transfers!$E:$H,4,FALSE)))))</f>
        <v/>
      </c>
      <c r="J20" s="58"/>
      <c r="K20" s="13"/>
      <c r="L20" s="58"/>
      <c r="M20" s="13"/>
      <c r="N20" s="14"/>
    </row>
    <row r="21" spans="1:14" x14ac:dyDescent="0.2">
      <c r="A21" s="11"/>
      <c r="B21" s="12"/>
      <c r="C21" s="13"/>
      <c r="D21" s="13"/>
      <c r="E21" s="13"/>
      <c r="F21" s="58"/>
      <c r="G21" s="13" t="str">
        <f>IF(F21=""," ",IF(J$2&gt;=DATE(2025,11,1),VLOOKUP(F21,Sites!$A:$C,3,FALSE),VLOOKUP(F21,Sites!$A:$B,2,FALSE)))</f>
        <v xml:space="preserve"> </v>
      </c>
      <c r="H21" s="11"/>
      <c r="I21" s="13" t="str">
        <f>IF(H21="","",IF(J13&lt;DATE(2025,11,1),IF(E$3&lt;=7,VLOOKUP(H21,Transfers!$A:$D,2,FALSE),
IF(E$3&lt;=15,VLOOKUP(H21,Transfers!$A:$D,3,FALSE),
VLOOKUP(H21,Transfers!$A:$D,4,FALSE))),IF(E$3&lt;=7,VLOOKUP(H21,Transfers!$E:$H,2,FALSE),
IF(E$3&lt;=15,VLOOKUP(H21,Transfers!$E:$H,3,FALSE),
VLOOKUP(H21,Transfers!$E:$H,4,FALSE)))))</f>
        <v/>
      </c>
      <c r="J21" s="58"/>
      <c r="K21" s="13"/>
      <c r="L21" s="58"/>
      <c r="M21" s="13"/>
      <c r="N21" s="14"/>
    </row>
    <row r="22" spans="1:14" x14ac:dyDescent="0.2">
      <c r="A22" s="11"/>
      <c r="B22" s="12"/>
      <c r="C22" s="13"/>
      <c r="D22" s="13"/>
      <c r="E22" s="13"/>
      <c r="F22" s="11"/>
      <c r="G22" s="13" t="str">
        <f>IF(F22=""," ",IF(J$2&gt;=DATE(2025,11,1),VLOOKUP(F22,Sites!$A:$C,3,FALSE),VLOOKUP(F22,Sites!$A:$B,2,FALSE)))</f>
        <v xml:space="preserve"> </v>
      </c>
      <c r="H22" s="58"/>
      <c r="I22" s="13" t="str">
        <f>IF(H22="","",IF(J14&lt;DATE(2025,11,1),IF(E$3&lt;=7,VLOOKUP(H22,Transfers!$A:$D,2,FALSE),
IF(E$3&lt;=15,VLOOKUP(H22,Transfers!$A:$D,3,FALSE),
VLOOKUP(H22,Transfers!$A:$D,4,FALSE))),IF(E$3&lt;=7,VLOOKUP(H22,Transfers!$E:$H,2,FALSE),
IF(E$3&lt;=15,VLOOKUP(H22,Transfers!$E:$H,3,FALSE),
VLOOKUP(H22,Transfers!$E:$H,4,FALSE)))))</f>
        <v/>
      </c>
      <c r="J22" s="58"/>
      <c r="K22" s="13"/>
      <c r="L22" s="58"/>
      <c r="M22" s="13"/>
      <c r="N22" s="14"/>
    </row>
    <row r="23" spans="1:14" x14ac:dyDescent="0.2">
      <c r="A23" s="11"/>
      <c r="B23" s="12"/>
      <c r="C23" s="13"/>
      <c r="D23" s="13"/>
      <c r="E23" s="13"/>
      <c r="F23" s="11"/>
      <c r="G23" s="13" t="str">
        <f>IF(F23=""," ",IF(J$2&gt;=DATE(2025,11,1),VLOOKUP(F23,Sites!$A:$C,3,FALSE),VLOOKUP(F23,Sites!$A:$B,2,FALSE)))</f>
        <v xml:space="preserve"> </v>
      </c>
      <c r="H23" s="58"/>
      <c r="I23" s="13" t="str">
        <f>IF(H23="","",IF(J15&lt;DATE(2025,11,1),IF(E$3&lt;=7,VLOOKUP(H23,Transfers!$A:$D,2,FALSE),
IF(E$3&lt;=15,VLOOKUP(H23,Transfers!$A:$D,3,FALSE),
VLOOKUP(H23,Transfers!$A:$D,4,FALSE))),IF(E$3&lt;=7,VLOOKUP(H23,Transfers!$E:$H,2,FALSE),
IF(E$3&lt;=15,VLOOKUP(H23,Transfers!$E:$H,3,FALSE),
VLOOKUP(H23,Transfers!$E:$H,4,FALSE)))))</f>
        <v/>
      </c>
      <c r="J23" s="58"/>
      <c r="K23" s="13"/>
      <c r="L23" s="58"/>
      <c r="M23" s="13"/>
      <c r="N23" s="14"/>
    </row>
    <row r="24" spans="1:14" x14ac:dyDescent="0.2">
      <c r="A24" s="11"/>
      <c r="B24" s="12"/>
      <c r="C24" s="13"/>
      <c r="D24" s="13"/>
      <c r="E24" s="13"/>
      <c r="F24" s="11"/>
      <c r="G24" s="13" t="str">
        <f>IF(F24=""," ",IF(J$2&gt;=DATE(2025,11,1),VLOOKUP(F24,Sites!$A:$C,3,FALSE),VLOOKUP(F24,Sites!$A:$B,2,FALSE)))</f>
        <v xml:space="preserve"> </v>
      </c>
      <c r="H24" s="58"/>
      <c r="I24" s="13" t="str">
        <f>IF(H24="","",IF(J16&lt;DATE(2025,11,1),IF(E$3&lt;=7,VLOOKUP(H24,Transfers!$A:$D,2,FALSE),
IF(E$3&lt;=15,VLOOKUP(H24,Transfers!$A:$D,3,FALSE),
VLOOKUP(H24,Transfers!$A:$D,4,FALSE))),IF(E$3&lt;=7,VLOOKUP(H24,Transfers!$E:$H,2,FALSE),
IF(E$3&lt;=15,VLOOKUP(H24,Transfers!$E:$H,3,FALSE),
VLOOKUP(H24,Transfers!$E:$H,4,FALSE)))))</f>
        <v/>
      </c>
      <c r="J24" s="58"/>
      <c r="K24" s="13"/>
      <c r="L24" s="58"/>
      <c r="M24" s="13"/>
      <c r="N24" s="14"/>
    </row>
    <row r="25" spans="1:14" x14ac:dyDescent="0.2">
      <c r="A25" s="11"/>
      <c r="B25" s="12"/>
      <c r="C25" s="13"/>
      <c r="D25" s="13"/>
      <c r="E25" s="13"/>
      <c r="F25" s="11"/>
      <c r="G25" s="13" t="str">
        <f>IF(F25=""," ",IF(J$2&gt;=DATE(2025,11,1),VLOOKUP(F25,Sites!$A:$C,3,FALSE),VLOOKUP(F25,Sites!$A:$B,2,FALSE)))</f>
        <v xml:space="preserve"> </v>
      </c>
      <c r="H25" s="11"/>
      <c r="I25" s="13" t="str">
        <f>IF(H25="","",IF(J17&lt;DATE(2025,11,1),IF(E$3&lt;=7,VLOOKUP(H25,Transfers!$A:$D,2,FALSE),
IF(E$3&lt;=15,VLOOKUP(H25,Transfers!$A:$D,3,FALSE),
VLOOKUP(H25,Transfers!$A:$D,4,FALSE))),IF(E$3&lt;=7,VLOOKUP(H25,Transfers!$E:$H,2,FALSE),
IF(E$3&lt;=15,VLOOKUP(H25,Transfers!$E:$H,3,FALSE),
VLOOKUP(H25,Transfers!$E:$H,4,FALSE)))))</f>
        <v/>
      </c>
      <c r="J25" s="58"/>
      <c r="K25" s="13"/>
      <c r="L25" s="58"/>
      <c r="M25" s="13"/>
      <c r="N25" s="14"/>
    </row>
    <row r="26" spans="1:14" x14ac:dyDescent="0.2">
      <c r="A26" s="11"/>
      <c r="B26" s="12"/>
      <c r="C26" s="13"/>
      <c r="D26" s="13"/>
      <c r="E26" s="13"/>
      <c r="F26" s="11"/>
      <c r="G26" s="13" t="str">
        <f>IF(F26=""," ",IF(J$2&gt;=DATE(2025,11,1),VLOOKUP(F26,Sites!$A:$C,3,FALSE),VLOOKUP(F26,Sites!$A:$B,2,FALSE)))</f>
        <v xml:space="preserve"> </v>
      </c>
      <c r="H26" s="11"/>
      <c r="I26" s="13" t="str">
        <f>IF(H26="","",IF(J18&lt;DATE(2025,11,1),IF(E$3&lt;=7,VLOOKUP(H26,Transfers!$A:$D,2,FALSE),
IF(E$3&lt;=15,VLOOKUP(H26,Transfers!$A:$D,3,FALSE),
VLOOKUP(H26,Transfers!$A:$D,4,FALSE))),IF(E$3&lt;=7,VLOOKUP(H26,Transfers!$E:$H,2,FALSE),
IF(E$3&lt;=15,VLOOKUP(H26,Transfers!$E:$H,3,FALSE),
VLOOKUP(H26,Transfers!$E:$H,4,FALSE)))))</f>
        <v/>
      </c>
      <c r="J26" s="58"/>
      <c r="K26" s="13"/>
      <c r="L26" s="58"/>
      <c r="M26" s="13"/>
      <c r="N26" s="14"/>
    </row>
    <row r="27" spans="1:14" x14ac:dyDescent="0.2">
      <c r="A27" s="11"/>
      <c r="B27" s="12"/>
      <c r="C27" s="13"/>
      <c r="D27" s="13"/>
      <c r="E27" s="13"/>
      <c r="F27" s="11"/>
      <c r="G27" s="13" t="str">
        <f>IF(F27=""," ",IF(J$2&gt;=DATE(2025,11,1),VLOOKUP(F27,Sites!$A:$C,3,FALSE),VLOOKUP(F27,Sites!$A:$B,2,FALSE)))</f>
        <v xml:space="preserve"> </v>
      </c>
      <c r="H27" s="11"/>
      <c r="I27" s="13" t="str">
        <f>IF(H27="","",IF(J19&lt;DATE(2025,11,1),IF(E$3&lt;=7,VLOOKUP(H27,Transfers!$A:$D,2,FALSE),
IF(E$3&lt;=15,VLOOKUP(H27,Transfers!$A:$D,3,FALSE),
VLOOKUP(H27,Transfers!$A:$D,4,FALSE))),IF(E$3&lt;=7,VLOOKUP(H27,Transfers!$E:$H,2,FALSE),
IF(E$3&lt;=15,VLOOKUP(H27,Transfers!$E:$H,3,FALSE),
VLOOKUP(H27,Transfers!$E:$H,4,FALSE)))))</f>
        <v/>
      </c>
      <c r="J27" s="58"/>
      <c r="K27" s="13"/>
      <c r="L27" s="58"/>
      <c r="M27" s="13"/>
      <c r="N27" s="14"/>
    </row>
    <row r="28" spans="1:14" x14ac:dyDescent="0.2">
      <c r="A28" s="11"/>
      <c r="B28" s="12"/>
      <c r="C28" s="13"/>
      <c r="D28" s="13"/>
      <c r="E28" s="13"/>
      <c r="F28" s="11"/>
      <c r="G28" s="13" t="str">
        <f>IF(F28=""," ",IF(J$2&gt;=DATE(2025,11,1),VLOOKUP(F28,Sites!$A:$C,3,FALSE),VLOOKUP(F28,Sites!$A:$B,2,FALSE)))</f>
        <v xml:space="preserve"> </v>
      </c>
      <c r="H28" s="11"/>
      <c r="I28" s="13" t="str">
        <f>IF(H28="","",IF(J20&lt;DATE(2025,11,1),IF(E$3&lt;=7,VLOOKUP(H28,Transfers!$A:$D,2,FALSE),
IF(E$3&lt;=15,VLOOKUP(H28,Transfers!$A:$D,3,FALSE),
VLOOKUP(H28,Transfers!$A:$D,4,FALSE))),IF(E$3&lt;=7,VLOOKUP(H28,Transfers!$E:$H,2,FALSE),
IF(E$3&lt;=15,VLOOKUP(H28,Transfers!$E:$H,3,FALSE),
VLOOKUP(H28,Transfers!$E:$H,4,FALSE)))))</f>
        <v/>
      </c>
      <c r="J28" s="58"/>
      <c r="K28" s="13"/>
      <c r="L28" s="58"/>
      <c r="M28" s="13"/>
      <c r="N28" s="14"/>
    </row>
    <row r="29" spans="1:14" x14ac:dyDescent="0.2">
      <c r="A29" s="11"/>
      <c r="B29" s="12"/>
      <c r="C29" s="13"/>
      <c r="D29" s="13"/>
      <c r="E29" s="13"/>
      <c r="F29" s="11"/>
      <c r="G29" s="13" t="str">
        <f>IF(F29=""," ",IF(J$2&gt;=DATE(2025,11,1),VLOOKUP(F29,Sites!$A:$C,3,FALSE),VLOOKUP(F29,Sites!$A:$B,2,FALSE)))</f>
        <v xml:space="preserve"> </v>
      </c>
      <c r="H29" s="11"/>
      <c r="I29" s="13" t="str">
        <f>IF(H29="","",IF(J21&lt;DATE(2025,11,1),IF(E$3&lt;=7,VLOOKUP(H29,Transfers!$A:$D,2,FALSE),
IF(E$3&lt;=15,VLOOKUP(H29,Transfers!$A:$D,3,FALSE),
VLOOKUP(H29,Transfers!$A:$D,4,FALSE))),IF(E$3&lt;=7,VLOOKUP(H29,Transfers!$E:$H,2,FALSE),
IF(E$3&lt;=15,VLOOKUP(H29,Transfers!$E:$H,3,FALSE),
VLOOKUP(H29,Transfers!$E:$H,4,FALSE)))))</f>
        <v/>
      </c>
      <c r="J29" s="58"/>
      <c r="K29" s="13"/>
      <c r="L29" s="58"/>
      <c r="M29" s="13"/>
      <c r="N29" s="14"/>
    </row>
    <row r="30" spans="1:14" x14ac:dyDescent="0.2">
      <c r="A30" s="11"/>
      <c r="B30" s="12"/>
      <c r="C30" s="13"/>
      <c r="D30" s="13"/>
      <c r="E30" s="13"/>
      <c r="F30" s="11"/>
      <c r="G30" s="13" t="str">
        <f>IF(F30=""," ",IF(J$2&gt;=DATE(2025,11,1),VLOOKUP(F30,Sites!$A:$C,3,FALSE),VLOOKUP(F30,Sites!$A:$B,2,FALSE)))</f>
        <v xml:space="preserve"> </v>
      </c>
      <c r="H30" s="11"/>
      <c r="I30" s="13" t="str">
        <f>IF(H30="","",IF(J22&lt;DATE(2025,11,1),IF(E$3&lt;=7,VLOOKUP(H30,Transfers!$A:$D,2,FALSE),
IF(E$3&lt;=15,VLOOKUP(H30,Transfers!$A:$D,3,FALSE),
VLOOKUP(H30,Transfers!$A:$D,4,FALSE))),IF(E$3&lt;=7,VLOOKUP(H30,Transfers!$E:$H,2,FALSE),
IF(E$3&lt;=15,VLOOKUP(H30,Transfers!$E:$H,3,FALSE),
VLOOKUP(H30,Transfers!$E:$H,4,FALSE)))))</f>
        <v/>
      </c>
      <c r="J30" s="58"/>
      <c r="K30" s="13"/>
      <c r="L30" s="58"/>
      <c r="M30" s="13"/>
      <c r="N30" s="14"/>
    </row>
    <row r="31" spans="1:14" x14ac:dyDescent="0.2">
      <c r="A31" s="11"/>
      <c r="B31" s="12"/>
      <c r="C31" s="13"/>
      <c r="D31" s="13"/>
      <c r="E31" s="13"/>
      <c r="F31" s="11"/>
      <c r="G31" s="13" t="str">
        <f>IF(F31=""," ",IF(J$2&gt;=DATE(2025,11,1),VLOOKUP(F31,Sites!$A:$C,3,FALSE),VLOOKUP(F31,Sites!$A:$B,2,FALSE)))</f>
        <v xml:space="preserve"> </v>
      </c>
      <c r="H31" s="11"/>
      <c r="I31" s="13" t="str">
        <f>IF(H31="","",IF(J23&lt;DATE(2025,11,1),IF(E$3&lt;=7,VLOOKUP(H31,Transfers!$A:$D,2,FALSE),
IF(E$3&lt;=15,VLOOKUP(H31,Transfers!$A:$D,3,FALSE),
VLOOKUP(H31,Transfers!$A:$D,4,FALSE))),IF(E$3&lt;=7,VLOOKUP(H31,Transfers!$E:$H,2,FALSE),
IF(E$3&lt;=15,VLOOKUP(H31,Transfers!$E:$H,3,FALSE),
VLOOKUP(H31,Transfers!$E:$H,4,FALSE)))))</f>
        <v/>
      </c>
      <c r="J31" s="58"/>
      <c r="K31" s="13"/>
      <c r="L31" s="58"/>
      <c r="M31" s="13"/>
      <c r="N31" s="14"/>
    </row>
    <row r="32" spans="1:14" x14ac:dyDescent="0.2">
      <c r="A32" s="11"/>
      <c r="B32" s="12"/>
      <c r="C32" s="13"/>
      <c r="D32" s="13"/>
      <c r="E32" s="13"/>
      <c r="F32" s="11"/>
      <c r="G32" s="13" t="str">
        <f>IF(F32=""," ",IF(J$2&gt;=DATE(2025,11,1),VLOOKUP(F32,Sites!$A:$C,3,FALSE),VLOOKUP(F32,Sites!$A:$B,2,FALSE)))</f>
        <v xml:space="preserve"> </v>
      </c>
      <c r="H32" s="11"/>
      <c r="I32" s="13" t="str">
        <f>IF(H32="","",IF(J24&lt;DATE(2025,11,1),IF(E$3&lt;=7,VLOOKUP(H32,Transfers!$A:$D,2,FALSE),
IF(E$3&lt;=15,VLOOKUP(H32,Transfers!$A:$D,3,FALSE),
VLOOKUP(H32,Transfers!$A:$D,4,FALSE))),IF(E$3&lt;=7,VLOOKUP(H32,Transfers!$E:$H,2,FALSE),
IF(E$3&lt;=15,VLOOKUP(H32,Transfers!$E:$H,3,FALSE),
VLOOKUP(H32,Transfers!$E:$H,4,FALSE)))))</f>
        <v/>
      </c>
      <c r="J32" s="58"/>
      <c r="K32" s="13"/>
      <c r="L32" s="58"/>
      <c r="M32" s="13"/>
      <c r="N32" s="14"/>
    </row>
    <row r="33" spans="1:14" x14ac:dyDescent="0.2">
      <c r="A33" s="11"/>
      <c r="B33" s="12"/>
      <c r="C33" s="13"/>
      <c r="D33" s="13"/>
      <c r="E33" s="13"/>
      <c r="F33" s="11"/>
      <c r="G33" s="13" t="str">
        <f>IF(F33=""," ",IF(J$2&gt;=DATE(2025,11,1),VLOOKUP(F33,Sites!$A:$C,3,FALSE),VLOOKUP(F33,Sites!$A:$B,2,FALSE)))</f>
        <v xml:space="preserve"> </v>
      </c>
      <c r="H33" s="11"/>
      <c r="I33" s="13" t="str">
        <f>IF(H33="","",IF(J25&lt;DATE(2025,11,1),IF(E$3&lt;=7,VLOOKUP(H33,Transfers!$A:$D,2,FALSE),
IF(E$3&lt;=15,VLOOKUP(H33,Transfers!$A:$D,3,FALSE),
VLOOKUP(H33,Transfers!$A:$D,4,FALSE))),IF(E$3&lt;=7,VLOOKUP(H33,Transfers!$E:$H,2,FALSE),
IF(E$3&lt;=15,VLOOKUP(H33,Transfers!$E:$H,3,FALSE),
VLOOKUP(H33,Transfers!$E:$H,4,FALSE)))))</f>
        <v/>
      </c>
      <c r="J33" s="58"/>
      <c r="K33" s="13"/>
      <c r="L33" s="58"/>
      <c r="M33" s="13"/>
      <c r="N33" s="14"/>
    </row>
    <row r="34" spans="1:14" x14ac:dyDescent="0.2">
      <c r="A34" s="11"/>
      <c r="B34" s="12"/>
      <c r="C34" s="13"/>
      <c r="D34" s="13"/>
      <c r="E34" s="13"/>
      <c r="F34" s="11"/>
      <c r="G34" s="13" t="str">
        <f>IF(F34=""," ",IF(J$2&gt;=DATE(2025,11,1),VLOOKUP(F34,Sites!$A:$C,3,FALSE),VLOOKUP(F34,Sites!$A:$B,2,FALSE)))</f>
        <v xml:space="preserve"> </v>
      </c>
      <c r="H34" s="11"/>
      <c r="I34" s="13" t="str">
        <f>IF(H34="","",IF(J26&lt;DATE(2025,11,1),IF(E$3&lt;=7,VLOOKUP(H34,Transfers!$A:$D,2,FALSE),
IF(E$3&lt;=15,VLOOKUP(H34,Transfers!$A:$D,3,FALSE),
VLOOKUP(H34,Transfers!$A:$D,4,FALSE))),IF(E$3&lt;=7,VLOOKUP(H34,Transfers!$E:$H,2,FALSE),
IF(E$3&lt;=15,VLOOKUP(H34,Transfers!$E:$H,3,FALSE),
VLOOKUP(H34,Transfers!$E:$H,4,FALSE)))))</f>
        <v/>
      </c>
      <c r="J34" s="58"/>
      <c r="K34" s="13"/>
      <c r="L34" s="58"/>
      <c r="M34" s="13"/>
      <c r="N34" s="14"/>
    </row>
    <row r="35" spans="1:14" x14ac:dyDescent="0.2">
      <c r="A35" s="11"/>
      <c r="B35" s="12"/>
      <c r="C35" s="13"/>
      <c r="D35" s="13"/>
      <c r="E35" s="13"/>
      <c r="F35" s="58"/>
      <c r="G35" s="13" t="str">
        <f>IF(F35=""," ",IF(J$2&gt;=DATE(2025,11,1),VLOOKUP(F35,Sites!$A:$C,3,FALSE),VLOOKUP(F35,Sites!$A:$B,2,FALSE)))</f>
        <v xml:space="preserve"> </v>
      </c>
      <c r="H35" s="11"/>
      <c r="I35" s="13" t="str">
        <f>IF(H35="","",IF(J27&lt;DATE(2025,11,1),IF(E$3&lt;=7,VLOOKUP(H35,Transfers!$A:$D,2,FALSE),
IF(E$3&lt;=15,VLOOKUP(H35,Transfers!$A:$D,3,FALSE),
VLOOKUP(H35,Transfers!$A:$D,4,FALSE))),IF(E$3&lt;=7,VLOOKUP(H35,Transfers!$E:$H,2,FALSE),
IF(E$3&lt;=15,VLOOKUP(H35,Transfers!$E:$H,3,FALSE),
VLOOKUP(H35,Transfers!$E:$H,4,FALSE)))))</f>
        <v/>
      </c>
      <c r="J35" s="58"/>
      <c r="K35" s="13"/>
      <c r="L35" s="58"/>
      <c r="M35" s="13"/>
      <c r="N35" s="14"/>
    </row>
    <row r="36" spans="1:14" x14ac:dyDescent="0.2">
      <c r="A36" s="11"/>
      <c r="B36" s="12"/>
      <c r="C36" s="13"/>
      <c r="D36" s="13"/>
      <c r="E36" s="13"/>
      <c r="F36" s="58"/>
      <c r="G36" s="13" t="str">
        <f>IF(F36=""," ",IF(J$2&gt;=DATE(2025,11,1),VLOOKUP(F36,Sites!$A:$C,3,FALSE),VLOOKUP(F36,Sites!$A:$B,2,FALSE)))</f>
        <v xml:space="preserve"> </v>
      </c>
      <c r="H36" s="11"/>
      <c r="I36" s="13" t="str">
        <f>IF(H36="","",IF(J28&lt;DATE(2025,11,1),IF(E$3&lt;=7,VLOOKUP(H36,Transfers!$A:$D,2,FALSE),
IF(E$3&lt;=15,VLOOKUP(H36,Transfers!$A:$D,3,FALSE),
VLOOKUP(H36,Transfers!$A:$D,4,FALSE))),IF(E$3&lt;=7,VLOOKUP(H36,Transfers!$E:$H,2,FALSE),
IF(E$3&lt;=15,VLOOKUP(H36,Transfers!$E:$H,3,FALSE),
VLOOKUP(H36,Transfers!$E:$H,4,FALSE)))))</f>
        <v/>
      </c>
      <c r="J36" s="58"/>
      <c r="K36" s="13"/>
      <c r="L36" s="58"/>
      <c r="M36" s="13"/>
      <c r="N36" s="14"/>
    </row>
    <row r="37" spans="1:14" x14ac:dyDescent="0.2">
      <c r="A37" s="11"/>
      <c r="B37" s="12"/>
      <c r="C37" s="13"/>
      <c r="D37" s="13"/>
      <c r="E37" s="13"/>
      <c r="F37" s="58"/>
      <c r="G37" s="13" t="str">
        <f>IF(F37=""," ",IF(J$2&gt;=DATE(2025,11,1),VLOOKUP(F37,Sites!$A:$C,3,FALSE),VLOOKUP(F37,Sites!$A:$B,2,FALSE)))</f>
        <v xml:space="preserve"> </v>
      </c>
      <c r="H37" s="11"/>
      <c r="I37" s="13" t="str">
        <f>IF(H37="","",IF(J29&lt;DATE(2025,11,1),IF(E$3&lt;=7,VLOOKUP(H37,Transfers!$A:$D,2,FALSE),
IF(E$3&lt;=15,VLOOKUP(H37,Transfers!$A:$D,3,FALSE),
VLOOKUP(H37,Transfers!$A:$D,4,FALSE))),IF(E$3&lt;=7,VLOOKUP(H37,Transfers!$E:$H,2,FALSE),
IF(E$3&lt;=15,VLOOKUP(H37,Transfers!$E:$H,3,FALSE),
VLOOKUP(H37,Transfers!$E:$H,4,FALSE)))))</f>
        <v/>
      </c>
      <c r="J37" s="58"/>
      <c r="K37" s="13"/>
      <c r="L37" s="58"/>
      <c r="M37" s="13"/>
      <c r="N37" s="14"/>
    </row>
    <row r="38" spans="1:14" x14ac:dyDescent="0.2">
      <c r="A38" s="11"/>
      <c r="B38" s="12"/>
      <c r="C38" s="60"/>
      <c r="D38" s="60"/>
      <c r="E38" s="60"/>
      <c r="F38" s="63"/>
      <c r="G38" s="13" t="str">
        <f>IF(F38=""," ",IF(J$2&gt;=DATE(2025,11,1),VLOOKUP(F38,Sites!$A:$C,3,FALSE),VLOOKUP(F38,Sites!$A:$B,2,FALSE)))</f>
        <v xml:space="preserve"> </v>
      </c>
      <c r="H38" s="11"/>
      <c r="I38" s="13" t="str">
        <f>IF(H38="","",IF(J30&lt;DATE(2025,11,1),IF(E$3&lt;=7,VLOOKUP(H38,Transfers!$A:$D,2,FALSE),
IF(E$3&lt;=15,VLOOKUP(H38,Transfers!$A:$D,3,FALSE),
VLOOKUP(H38,Transfers!$A:$D,4,FALSE))),IF(E$3&lt;=7,VLOOKUP(H38,Transfers!$E:$H,2,FALSE),
IF(E$3&lt;=15,VLOOKUP(H38,Transfers!$E:$H,3,FALSE),
VLOOKUP(H38,Transfers!$E:$H,4,FALSE)))))</f>
        <v/>
      </c>
      <c r="J38" s="58"/>
      <c r="K38" s="13"/>
      <c r="L38" s="58"/>
      <c r="M38" s="13"/>
      <c r="N38" s="14"/>
    </row>
    <row r="39" spans="1:14" ht="15.75" thickBot="1" x14ac:dyDescent="0.25">
      <c r="A39" s="4"/>
      <c r="B39" s="51"/>
      <c r="C39" s="62">
        <f>IF((COUNTA(B10:B36)=0),0,SUM(C10:C38))</f>
        <v>0</v>
      </c>
      <c r="D39" s="61">
        <f>IF((D10)=0,"  ",SUM(D10:D38))</f>
        <v>0</v>
      </c>
      <c r="E39" s="61" t="str">
        <f>IF((E10)=0,"  ",SUM(E10:E38))</f>
        <v xml:space="preserve">  </v>
      </c>
      <c r="F39" s="62"/>
      <c r="G39" s="64">
        <f>IF((G10)=0,"  ",SUM(G10:G38)/(M2))</f>
        <v>0</v>
      </c>
      <c r="H39" s="53"/>
      <c r="I39" s="54">
        <f>IF((G10)=" ",0,SUM(I10:I38)/$M$2/$E$3)</f>
        <v>0</v>
      </c>
      <c r="J39" s="53"/>
      <c r="K39" s="52">
        <f>IF((K10)=0,0,SUM(K10:K38)/(M2))</f>
        <v>0</v>
      </c>
      <c r="L39" s="53"/>
      <c r="M39" s="54">
        <f>IF((L10)=0,"  ",SUM(M10:M38)/$M$2/$E$3)</f>
        <v>0</v>
      </c>
      <c r="N39" s="54">
        <f>IF((M10)=" ","  ",SUM(N10:N38)/$E$3)</f>
        <v>0</v>
      </c>
    </row>
    <row r="40" spans="1:14" ht="15.75" thickBot="1" x14ac:dyDescent="0.25">
      <c r="A40" s="4"/>
      <c r="B40" s="4"/>
      <c r="C40" s="4"/>
      <c r="D40" s="4"/>
      <c r="E40" s="3"/>
      <c r="F40" s="4"/>
      <c r="G40" s="4"/>
      <c r="H40" s="4"/>
      <c r="I40" s="16"/>
      <c r="J40" s="16"/>
      <c r="K40" s="4"/>
      <c r="L40" s="4"/>
      <c r="M40" s="4"/>
      <c r="N40" s="4"/>
    </row>
    <row r="41" spans="1:14" ht="15.75" x14ac:dyDescent="0.25">
      <c r="A41" s="3"/>
      <c r="B41" s="98" t="s">
        <v>24</v>
      </c>
      <c r="C41" s="99"/>
      <c r="D41" s="76"/>
      <c r="E41" s="72"/>
      <c r="F41" s="73" t="s">
        <v>25</v>
      </c>
      <c r="G41" s="3"/>
      <c r="H41" s="20" t="s">
        <v>26</v>
      </c>
      <c r="I41" s="20" t="s">
        <v>27</v>
      </c>
      <c r="J41" s="21"/>
      <c r="K41" s="21"/>
      <c r="L41" s="21"/>
      <c r="M41" s="22"/>
      <c r="N41" s="3"/>
    </row>
    <row r="42" spans="1:14" ht="15" x14ac:dyDescent="0.2">
      <c r="A42" s="11"/>
      <c r="B42" s="100" t="s">
        <v>28</v>
      </c>
      <c r="C42" s="101"/>
      <c r="D42" s="77"/>
      <c r="E42" s="65" t="s">
        <v>29</v>
      </c>
      <c r="F42" s="71">
        <f>C39+G39+I39+K39+M39+N39+M3</f>
        <v>0</v>
      </c>
      <c r="G42" s="11"/>
      <c r="H42" s="17" t="s">
        <v>30</v>
      </c>
      <c r="I42" s="102"/>
      <c r="J42" s="102"/>
      <c r="K42" s="15"/>
      <c r="L42" s="15"/>
      <c r="M42" s="23"/>
      <c r="N42" s="11"/>
    </row>
    <row r="43" spans="1:14" x14ac:dyDescent="0.2">
      <c r="A43" s="11"/>
      <c r="B43" s="100" t="s">
        <v>31</v>
      </c>
      <c r="C43" s="101"/>
      <c r="D43" s="77"/>
      <c r="E43" s="24" t="s">
        <v>29</v>
      </c>
      <c r="F43" s="25">
        <f>D39</f>
        <v>0</v>
      </c>
      <c r="G43" s="11"/>
      <c r="H43" s="11"/>
      <c r="I43" s="15"/>
      <c r="J43" s="15"/>
      <c r="K43" s="15"/>
      <c r="L43" s="15"/>
      <c r="M43" s="26"/>
      <c r="N43" s="11"/>
    </row>
    <row r="44" spans="1:14" ht="15.75" thickBot="1" x14ac:dyDescent="0.25">
      <c r="A44" s="4"/>
      <c r="B44" s="92" t="s">
        <v>32</v>
      </c>
      <c r="C44" s="93"/>
      <c r="D44" s="75"/>
      <c r="E44" s="24" t="s">
        <v>29</v>
      </c>
      <c r="F44" s="19" t="str">
        <f>E39</f>
        <v xml:space="preserve">  </v>
      </c>
      <c r="G44" s="7"/>
      <c r="H44" s="7"/>
      <c r="I44" s="10"/>
      <c r="J44" s="10"/>
      <c r="K44" s="10"/>
      <c r="L44" s="10"/>
      <c r="M44" s="18"/>
      <c r="N44" s="7"/>
    </row>
  </sheetData>
  <mergeCells count="14">
    <mergeCell ref="B44:C44"/>
    <mergeCell ref="C7:E7"/>
    <mergeCell ref="M7:N7"/>
    <mergeCell ref="B41:C41"/>
    <mergeCell ref="B42:C42"/>
    <mergeCell ref="I42:J42"/>
    <mergeCell ref="B43:C43"/>
    <mergeCell ref="B1:G1"/>
    <mergeCell ref="B4:N5"/>
    <mergeCell ref="B6:E6"/>
    <mergeCell ref="F6:G6"/>
    <mergeCell ref="H6:I6"/>
    <mergeCell ref="J6:K6"/>
    <mergeCell ref="L6:N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121"/>
  <sheetViews>
    <sheetView tabSelected="1" topLeftCell="A89" zoomScale="115" zoomScaleNormal="115" workbookViewId="0">
      <selection activeCell="D103" sqref="D103"/>
    </sheetView>
  </sheetViews>
  <sheetFormatPr defaultRowHeight="12.75" x14ac:dyDescent="0.2"/>
  <cols>
    <col min="1" max="1" width="25.140625" bestFit="1" customWidth="1"/>
    <col min="2" max="2" width="24.140625" bestFit="1" customWidth="1"/>
    <col min="3" max="3" width="24.7109375" bestFit="1" customWidth="1"/>
    <col min="4" max="4" width="14.5703125" bestFit="1" customWidth="1"/>
  </cols>
  <sheetData>
    <row r="1" spans="1:3" x14ac:dyDescent="0.2">
      <c r="A1" t="s">
        <v>33</v>
      </c>
      <c r="B1" t="s">
        <v>34</v>
      </c>
      <c r="C1" t="s">
        <v>245</v>
      </c>
    </row>
    <row r="2" spans="1:3" x14ac:dyDescent="0.2">
      <c r="A2" t="s">
        <v>35</v>
      </c>
      <c r="B2">
        <v>577.5</v>
      </c>
      <c r="C2">
        <f>B2*1.1</f>
        <v>635.25</v>
      </c>
    </row>
    <row r="3" spans="1:3" x14ac:dyDescent="0.2">
      <c r="A3" t="s">
        <v>36</v>
      </c>
      <c r="B3">
        <v>231</v>
      </c>
      <c r="C3">
        <f t="shared" ref="C3:C66" si="0">B3*1.1</f>
        <v>254.10000000000002</v>
      </c>
    </row>
    <row r="4" spans="1:3" x14ac:dyDescent="0.2">
      <c r="A4" t="s">
        <v>37</v>
      </c>
      <c r="B4">
        <v>231</v>
      </c>
      <c r="C4">
        <f t="shared" si="0"/>
        <v>254.10000000000002</v>
      </c>
    </row>
    <row r="5" spans="1:3" x14ac:dyDescent="0.2">
      <c r="A5" t="s">
        <v>38</v>
      </c>
      <c r="B5">
        <v>315</v>
      </c>
      <c r="C5">
        <f t="shared" si="0"/>
        <v>346.5</v>
      </c>
    </row>
    <row r="6" spans="1:3" x14ac:dyDescent="0.2">
      <c r="A6" t="s">
        <v>39</v>
      </c>
      <c r="B6">
        <v>126</v>
      </c>
      <c r="C6">
        <f t="shared" si="0"/>
        <v>138.60000000000002</v>
      </c>
    </row>
    <row r="7" spans="1:3" x14ac:dyDescent="0.2">
      <c r="A7" t="s">
        <v>40</v>
      </c>
      <c r="B7">
        <v>577.5</v>
      </c>
      <c r="C7">
        <f t="shared" si="0"/>
        <v>635.25</v>
      </c>
    </row>
    <row r="8" spans="1:3" x14ac:dyDescent="0.2">
      <c r="A8" t="s">
        <v>41</v>
      </c>
      <c r="B8">
        <v>682.5</v>
      </c>
      <c r="C8">
        <f t="shared" si="0"/>
        <v>750.75000000000011</v>
      </c>
    </row>
    <row r="9" spans="1:3" x14ac:dyDescent="0.2">
      <c r="A9" t="s">
        <v>42</v>
      </c>
      <c r="B9">
        <v>78.75</v>
      </c>
      <c r="C9">
        <f t="shared" si="0"/>
        <v>86.625</v>
      </c>
    </row>
    <row r="10" spans="1:3" x14ac:dyDescent="0.2">
      <c r="A10" t="s">
        <v>43</v>
      </c>
      <c r="B10">
        <v>357</v>
      </c>
      <c r="C10">
        <f t="shared" si="0"/>
        <v>392.70000000000005</v>
      </c>
    </row>
    <row r="11" spans="1:3" x14ac:dyDescent="0.2">
      <c r="A11" t="s">
        <v>44</v>
      </c>
      <c r="B11">
        <v>294</v>
      </c>
      <c r="C11">
        <f t="shared" si="0"/>
        <v>323.40000000000003</v>
      </c>
    </row>
    <row r="12" spans="1:3" x14ac:dyDescent="0.2">
      <c r="A12" t="s">
        <v>45</v>
      </c>
      <c r="B12">
        <v>315</v>
      </c>
      <c r="C12">
        <f t="shared" si="0"/>
        <v>346.5</v>
      </c>
    </row>
    <row r="13" spans="1:3" x14ac:dyDescent="0.2">
      <c r="A13" t="s">
        <v>46</v>
      </c>
      <c r="B13">
        <v>105</v>
      </c>
      <c r="C13">
        <f t="shared" si="0"/>
        <v>115.50000000000001</v>
      </c>
    </row>
    <row r="14" spans="1:3" x14ac:dyDescent="0.2">
      <c r="A14" t="s">
        <v>47</v>
      </c>
      <c r="B14">
        <v>231</v>
      </c>
      <c r="C14">
        <f t="shared" si="0"/>
        <v>254.10000000000002</v>
      </c>
    </row>
    <row r="15" spans="1:3" x14ac:dyDescent="0.2">
      <c r="A15" t="s">
        <v>48</v>
      </c>
      <c r="B15">
        <v>231</v>
      </c>
      <c r="C15">
        <f t="shared" si="0"/>
        <v>254.10000000000002</v>
      </c>
    </row>
    <row r="16" spans="1:3" x14ac:dyDescent="0.2">
      <c r="A16" t="s">
        <v>49</v>
      </c>
      <c r="B16">
        <v>231</v>
      </c>
      <c r="C16">
        <f t="shared" si="0"/>
        <v>254.10000000000002</v>
      </c>
    </row>
    <row r="17" spans="1:3" x14ac:dyDescent="0.2">
      <c r="A17" t="s">
        <v>50</v>
      </c>
      <c r="B17">
        <v>126</v>
      </c>
      <c r="C17">
        <f t="shared" si="0"/>
        <v>138.60000000000002</v>
      </c>
    </row>
    <row r="18" spans="1:3" x14ac:dyDescent="0.2">
      <c r="A18" t="s">
        <v>51</v>
      </c>
      <c r="B18">
        <v>735</v>
      </c>
      <c r="C18">
        <f t="shared" si="0"/>
        <v>808.50000000000011</v>
      </c>
    </row>
    <row r="19" spans="1:3" x14ac:dyDescent="0.2">
      <c r="A19" t="s">
        <v>52</v>
      </c>
      <c r="B19">
        <v>1050</v>
      </c>
      <c r="C19">
        <f t="shared" si="0"/>
        <v>1155</v>
      </c>
    </row>
    <row r="20" spans="1:3" x14ac:dyDescent="0.2">
      <c r="A20" t="s">
        <v>53</v>
      </c>
      <c r="B20">
        <v>294</v>
      </c>
      <c r="C20">
        <f t="shared" si="0"/>
        <v>323.40000000000003</v>
      </c>
    </row>
    <row r="21" spans="1:3" x14ac:dyDescent="0.2">
      <c r="A21" t="s">
        <v>54</v>
      </c>
      <c r="B21">
        <v>294</v>
      </c>
      <c r="C21">
        <f t="shared" si="0"/>
        <v>323.40000000000003</v>
      </c>
    </row>
    <row r="22" spans="1:3" x14ac:dyDescent="0.2">
      <c r="A22" t="s">
        <v>55</v>
      </c>
      <c r="B22">
        <v>210</v>
      </c>
      <c r="C22">
        <f t="shared" si="0"/>
        <v>231.00000000000003</v>
      </c>
    </row>
    <row r="23" spans="1:3" x14ac:dyDescent="0.2">
      <c r="A23" t="s">
        <v>56</v>
      </c>
      <c r="B23">
        <v>630</v>
      </c>
      <c r="C23">
        <f t="shared" si="0"/>
        <v>693</v>
      </c>
    </row>
    <row r="24" spans="1:3" x14ac:dyDescent="0.2">
      <c r="A24" t="s">
        <v>57</v>
      </c>
      <c r="B24">
        <v>420</v>
      </c>
      <c r="C24">
        <f t="shared" si="0"/>
        <v>462.00000000000006</v>
      </c>
    </row>
    <row r="25" spans="1:3" x14ac:dyDescent="0.2">
      <c r="A25" t="s">
        <v>58</v>
      </c>
      <c r="B25">
        <v>315</v>
      </c>
      <c r="C25">
        <f t="shared" si="0"/>
        <v>346.5</v>
      </c>
    </row>
    <row r="26" spans="1:3" x14ac:dyDescent="0.2">
      <c r="A26" t="s">
        <v>59</v>
      </c>
      <c r="B26">
        <v>1050</v>
      </c>
      <c r="C26">
        <f t="shared" si="0"/>
        <v>1155</v>
      </c>
    </row>
    <row r="27" spans="1:3" x14ac:dyDescent="0.2">
      <c r="A27" t="s">
        <v>60</v>
      </c>
      <c r="B27">
        <v>294</v>
      </c>
      <c r="C27">
        <f t="shared" si="0"/>
        <v>323.40000000000003</v>
      </c>
    </row>
    <row r="28" spans="1:3" x14ac:dyDescent="0.2">
      <c r="A28" t="s">
        <v>61</v>
      </c>
      <c r="B28">
        <v>357</v>
      </c>
      <c r="C28">
        <f t="shared" si="0"/>
        <v>392.70000000000005</v>
      </c>
    </row>
    <row r="29" spans="1:3" x14ac:dyDescent="0.2">
      <c r="A29" t="s">
        <v>62</v>
      </c>
      <c r="B29">
        <v>210</v>
      </c>
      <c r="C29">
        <f t="shared" si="0"/>
        <v>231.00000000000003</v>
      </c>
    </row>
    <row r="30" spans="1:3" x14ac:dyDescent="0.2">
      <c r="A30" t="s">
        <v>63</v>
      </c>
      <c r="B30">
        <v>210</v>
      </c>
      <c r="C30">
        <f t="shared" si="0"/>
        <v>231.00000000000003</v>
      </c>
    </row>
    <row r="31" spans="1:3" x14ac:dyDescent="0.2">
      <c r="A31" t="s">
        <v>64</v>
      </c>
      <c r="B31">
        <v>210</v>
      </c>
      <c r="C31">
        <f t="shared" si="0"/>
        <v>231.00000000000003</v>
      </c>
    </row>
    <row r="32" spans="1:3" x14ac:dyDescent="0.2">
      <c r="A32" t="s">
        <v>65</v>
      </c>
      <c r="B32">
        <v>210</v>
      </c>
      <c r="C32">
        <f t="shared" si="0"/>
        <v>231.00000000000003</v>
      </c>
    </row>
    <row r="33" spans="1:3" x14ac:dyDescent="0.2">
      <c r="A33" t="s">
        <v>66</v>
      </c>
      <c r="B33">
        <v>210</v>
      </c>
      <c r="C33">
        <f t="shared" si="0"/>
        <v>231.00000000000003</v>
      </c>
    </row>
    <row r="34" spans="1:3" x14ac:dyDescent="0.2">
      <c r="A34" t="s">
        <v>67</v>
      </c>
      <c r="B34">
        <v>210</v>
      </c>
      <c r="C34">
        <f t="shared" si="0"/>
        <v>231.00000000000003</v>
      </c>
    </row>
    <row r="35" spans="1:3" x14ac:dyDescent="0.2">
      <c r="A35" t="s">
        <v>68</v>
      </c>
      <c r="B35">
        <v>210</v>
      </c>
      <c r="C35">
        <f t="shared" si="0"/>
        <v>231.00000000000003</v>
      </c>
    </row>
    <row r="36" spans="1:3" x14ac:dyDescent="0.2">
      <c r="A36" t="s">
        <v>69</v>
      </c>
      <c r="B36">
        <v>210</v>
      </c>
      <c r="C36">
        <f t="shared" si="0"/>
        <v>231.00000000000003</v>
      </c>
    </row>
    <row r="37" spans="1:3" x14ac:dyDescent="0.2">
      <c r="A37" t="s">
        <v>70</v>
      </c>
      <c r="B37">
        <v>210</v>
      </c>
      <c r="C37">
        <f t="shared" si="0"/>
        <v>231.00000000000003</v>
      </c>
    </row>
    <row r="38" spans="1:3" x14ac:dyDescent="0.2">
      <c r="A38" t="s">
        <v>71</v>
      </c>
      <c r="B38">
        <v>231</v>
      </c>
      <c r="C38">
        <f t="shared" si="0"/>
        <v>254.10000000000002</v>
      </c>
    </row>
    <row r="39" spans="1:3" x14ac:dyDescent="0.2">
      <c r="A39" t="s">
        <v>72</v>
      </c>
      <c r="B39">
        <v>231</v>
      </c>
      <c r="C39">
        <f t="shared" si="0"/>
        <v>254.10000000000002</v>
      </c>
    </row>
    <row r="40" spans="1:3" x14ac:dyDescent="0.2">
      <c r="A40" t="s">
        <v>73</v>
      </c>
      <c r="B40">
        <v>420</v>
      </c>
      <c r="C40">
        <f t="shared" si="0"/>
        <v>462.00000000000006</v>
      </c>
    </row>
    <row r="41" spans="1:3" x14ac:dyDescent="0.2">
      <c r="A41" t="s">
        <v>74</v>
      </c>
      <c r="B41">
        <v>126</v>
      </c>
      <c r="C41">
        <f t="shared" si="0"/>
        <v>138.60000000000002</v>
      </c>
    </row>
    <row r="42" spans="1:3" x14ac:dyDescent="0.2">
      <c r="A42" t="s">
        <v>75</v>
      </c>
      <c r="B42">
        <v>231</v>
      </c>
      <c r="C42">
        <f t="shared" si="0"/>
        <v>254.10000000000002</v>
      </c>
    </row>
    <row r="43" spans="1:3" x14ac:dyDescent="0.2">
      <c r="A43" t="s">
        <v>76</v>
      </c>
      <c r="B43">
        <v>126</v>
      </c>
      <c r="C43">
        <f t="shared" si="0"/>
        <v>138.60000000000002</v>
      </c>
    </row>
    <row r="44" spans="1:3" x14ac:dyDescent="0.2">
      <c r="A44" t="s">
        <v>77</v>
      </c>
      <c r="B44">
        <v>126</v>
      </c>
      <c r="C44">
        <f t="shared" si="0"/>
        <v>138.60000000000002</v>
      </c>
    </row>
    <row r="45" spans="1:3" x14ac:dyDescent="0.2">
      <c r="A45" t="s">
        <v>78</v>
      </c>
      <c r="B45">
        <v>210</v>
      </c>
      <c r="C45">
        <f t="shared" si="0"/>
        <v>231.00000000000003</v>
      </c>
    </row>
    <row r="46" spans="1:3" x14ac:dyDescent="0.2">
      <c r="A46" t="s">
        <v>79</v>
      </c>
      <c r="B46">
        <v>210</v>
      </c>
      <c r="C46">
        <f t="shared" si="0"/>
        <v>231.00000000000003</v>
      </c>
    </row>
    <row r="47" spans="1:3" x14ac:dyDescent="0.2">
      <c r="A47" t="s">
        <v>80</v>
      </c>
      <c r="B47">
        <v>210</v>
      </c>
      <c r="C47">
        <f t="shared" si="0"/>
        <v>231.00000000000003</v>
      </c>
    </row>
    <row r="48" spans="1:3" x14ac:dyDescent="0.2">
      <c r="A48" t="s">
        <v>81</v>
      </c>
      <c r="B48">
        <v>126</v>
      </c>
      <c r="C48">
        <f t="shared" si="0"/>
        <v>138.60000000000002</v>
      </c>
    </row>
    <row r="49" spans="1:3" x14ac:dyDescent="0.2">
      <c r="A49" t="s">
        <v>82</v>
      </c>
      <c r="B49">
        <v>126</v>
      </c>
      <c r="C49">
        <f t="shared" si="0"/>
        <v>138.60000000000002</v>
      </c>
    </row>
    <row r="50" spans="1:3" x14ac:dyDescent="0.2">
      <c r="A50" t="s">
        <v>83</v>
      </c>
      <c r="B50">
        <v>273</v>
      </c>
      <c r="C50">
        <f t="shared" si="0"/>
        <v>300.3</v>
      </c>
    </row>
    <row r="51" spans="1:3" x14ac:dyDescent="0.2">
      <c r="A51" t="s">
        <v>84</v>
      </c>
      <c r="B51">
        <v>315</v>
      </c>
      <c r="C51">
        <f t="shared" si="0"/>
        <v>346.5</v>
      </c>
    </row>
    <row r="52" spans="1:3" x14ac:dyDescent="0.2">
      <c r="A52" t="s">
        <v>85</v>
      </c>
      <c r="B52">
        <v>630</v>
      </c>
      <c r="C52">
        <f t="shared" si="0"/>
        <v>693</v>
      </c>
    </row>
    <row r="53" spans="1:3" x14ac:dyDescent="0.2">
      <c r="A53" t="s">
        <v>86</v>
      </c>
      <c r="B53">
        <v>210</v>
      </c>
      <c r="C53">
        <f t="shared" si="0"/>
        <v>231.00000000000003</v>
      </c>
    </row>
    <row r="54" spans="1:3" x14ac:dyDescent="0.2">
      <c r="A54" t="s">
        <v>87</v>
      </c>
      <c r="B54">
        <v>525</v>
      </c>
      <c r="C54">
        <f t="shared" si="0"/>
        <v>577.5</v>
      </c>
    </row>
    <row r="55" spans="1:3" x14ac:dyDescent="0.2">
      <c r="A55" t="s">
        <v>88</v>
      </c>
      <c r="B55">
        <v>787.5</v>
      </c>
      <c r="C55">
        <f t="shared" si="0"/>
        <v>866.25000000000011</v>
      </c>
    </row>
    <row r="56" spans="1:3" x14ac:dyDescent="0.2">
      <c r="A56" t="s">
        <v>89</v>
      </c>
      <c r="B56">
        <v>2100</v>
      </c>
      <c r="C56">
        <f t="shared" si="0"/>
        <v>2310</v>
      </c>
    </row>
    <row r="57" spans="1:3" x14ac:dyDescent="0.2">
      <c r="A57" t="s">
        <v>90</v>
      </c>
      <c r="B57">
        <v>210</v>
      </c>
      <c r="C57">
        <f t="shared" si="0"/>
        <v>231.00000000000003</v>
      </c>
    </row>
    <row r="58" spans="1:3" x14ac:dyDescent="0.2">
      <c r="A58" t="s">
        <v>91</v>
      </c>
      <c r="B58">
        <v>462</v>
      </c>
      <c r="C58">
        <f t="shared" si="0"/>
        <v>508.20000000000005</v>
      </c>
    </row>
    <row r="59" spans="1:3" x14ac:dyDescent="0.2">
      <c r="A59" t="s">
        <v>92</v>
      </c>
      <c r="B59">
        <v>231</v>
      </c>
      <c r="C59">
        <f t="shared" si="0"/>
        <v>254.10000000000002</v>
      </c>
    </row>
    <row r="60" spans="1:3" x14ac:dyDescent="0.2">
      <c r="A60" t="s">
        <v>93</v>
      </c>
      <c r="B60">
        <v>126</v>
      </c>
      <c r="C60">
        <f t="shared" si="0"/>
        <v>138.60000000000002</v>
      </c>
    </row>
    <row r="61" spans="1:3" x14ac:dyDescent="0.2">
      <c r="A61" t="s">
        <v>94</v>
      </c>
      <c r="B61">
        <v>210</v>
      </c>
      <c r="C61">
        <f t="shared" si="0"/>
        <v>231.00000000000003</v>
      </c>
    </row>
    <row r="62" spans="1:3" x14ac:dyDescent="0.2">
      <c r="A62" t="s">
        <v>95</v>
      </c>
      <c r="B62">
        <v>231</v>
      </c>
      <c r="C62">
        <f t="shared" si="0"/>
        <v>254.10000000000002</v>
      </c>
    </row>
    <row r="63" spans="1:3" x14ac:dyDescent="0.2">
      <c r="A63" t="s">
        <v>96</v>
      </c>
      <c r="B63">
        <v>126</v>
      </c>
      <c r="C63">
        <f t="shared" si="0"/>
        <v>138.60000000000002</v>
      </c>
    </row>
    <row r="64" spans="1:3" x14ac:dyDescent="0.2">
      <c r="A64" t="s">
        <v>97</v>
      </c>
      <c r="B64">
        <v>231</v>
      </c>
      <c r="C64">
        <f t="shared" si="0"/>
        <v>254.10000000000002</v>
      </c>
    </row>
    <row r="65" spans="1:3" x14ac:dyDescent="0.2">
      <c r="A65" t="s">
        <v>98</v>
      </c>
      <c r="B65">
        <v>210</v>
      </c>
      <c r="C65">
        <f t="shared" si="0"/>
        <v>231.00000000000003</v>
      </c>
    </row>
    <row r="66" spans="1:3" x14ac:dyDescent="0.2">
      <c r="A66" t="s">
        <v>99</v>
      </c>
      <c r="B66">
        <v>210</v>
      </c>
      <c r="C66">
        <f t="shared" si="0"/>
        <v>231.00000000000003</v>
      </c>
    </row>
    <row r="67" spans="1:3" x14ac:dyDescent="0.2">
      <c r="A67" t="s">
        <v>100</v>
      </c>
      <c r="B67">
        <v>126</v>
      </c>
      <c r="C67">
        <f t="shared" ref="C67:C106" si="1">B67*1.1</f>
        <v>138.60000000000002</v>
      </c>
    </row>
    <row r="68" spans="1:3" x14ac:dyDescent="0.2">
      <c r="A68" t="s">
        <v>101</v>
      </c>
      <c r="B68">
        <v>210</v>
      </c>
      <c r="C68">
        <f t="shared" si="1"/>
        <v>231.00000000000003</v>
      </c>
    </row>
    <row r="69" spans="1:3" x14ac:dyDescent="0.2">
      <c r="A69" t="s">
        <v>102</v>
      </c>
      <c r="B69">
        <v>210</v>
      </c>
      <c r="C69">
        <f t="shared" si="1"/>
        <v>231.00000000000003</v>
      </c>
    </row>
    <row r="70" spans="1:3" x14ac:dyDescent="0.2">
      <c r="A70" t="s">
        <v>103</v>
      </c>
      <c r="B70">
        <v>735</v>
      </c>
      <c r="C70">
        <f t="shared" si="1"/>
        <v>808.50000000000011</v>
      </c>
    </row>
    <row r="71" spans="1:3" x14ac:dyDescent="0.2">
      <c r="A71" t="s">
        <v>104</v>
      </c>
      <c r="B71">
        <v>231</v>
      </c>
      <c r="C71">
        <f t="shared" si="1"/>
        <v>254.10000000000002</v>
      </c>
    </row>
    <row r="72" spans="1:3" x14ac:dyDescent="0.2">
      <c r="A72" t="s">
        <v>105</v>
      </c>
      <c r="B72">
        <v>231</v>
      </c>
      <c r="C72">
        <f t="shared" si="1"/>
        <v>254.10000000000002</v>
      </c>
    </row>
    <row r="73" spans="1:3" x14ac:dyDescent="0.2">
      <c r="A73" t="s">
        <v>106</v>
      </c>
      <c r="B73">
        <v>231</v>
      </c>
      <c r="C73">
        <f t="shared" si="1"/>
        <v>254.10000000000002</v>
      </c>
    </row>
    <row r="74" spans="1:3" x14ac:dyDescent="0.2">
      <c r="A74" t="s">
        <v>107</v>
      </c>
      <c r="B74">
        <v>2625</v>
      </c>
      <c r="C74">
        <f t="shared" si="1"/>
        <v>2887.5000000000005</v>
      </c>
    </row>
    <row r="75" spans="1:3" x14ac:dyDescent="0.2">
      <c r="A75" t="s">
        <v>108</v>
      </c>
      <c r="B75">
        <v>126</v>
      </c>
      <c r="C75">
        <f t="shared" si="1"/>
        <v>138.60000000000002</v>
      </c>
    </row>
    <row r="76" spans="1:3" x14ac:dyDescent="0.2">
      <c r="A76" t="s">
        <v>109</v>
      </c>
      <c r="B76">
        <v>126</v>
      </c>
      <c r="C76">
        <f t="shared" si="1"/>
        <v>138.60000000000002</v>
      </c>
    </row>
    <row r="77" spans="1:3" x14ac:dyDescent="0.2">
      <c r="A77" t="s">
        <v>110</v>
      </c>
      <c r="B77">
        <v>126</v>
      </c>
      <c r="C77">
        <f t="shared" si="1"/>
        <v>138.60000000000002</v>
      </c>
    </row>
    <row r="78" spans="1:3" x14ac:dyDescent="0.2">
      <c r="A78" t="s">
        <v>111</v>
      </c>
      <c r="B78">
        <v>126</v>
      </c>
      <c r="C78">
        <f t="shared" si="1"/>
        <v>138.60000000000002</v>
      </c>
    </row>
    <row r="79" spans="1:3" x14ac:dyDescent="0.2">
      <c r="A79" t="s">
        <v>112</v>
      </c>
      <c r="B79">
        <v>231</v>
      </c>
      <c r="C79">
        <f t="shared" si="1"/>
        <v>254.10000000000002</v>
      </c>
    </row>
    <row r="80" spans="1:3" x14ac:dyDescent="0.2">
      <c r="A80" t="s">
        <v>113</v>
      </c>
      <c r="B80">
        <v>420</v>
      </c>
      <c r="C80">
        <f t="shared" si="1"/>
        <v>462.00000000000006</v>
      </c>
    </row>
    <row r="81" spans="1:3" x14ac:dyDescent="0.2">
      <c r="A81" t="s">
        <v>114</v>
      </c>
      <c r="B81">
        <v>787.5</v>
      </c>
      <c r="C81">
        <f t="shared" si="1"/>
        <v>866.25000000000011</v>
      </c>
    </row>
    <row r="82" spans="1:3" x14ac:dyDescent="0.2">
      <c r="A82" t="s">
        <v>115</v>
      </c>
      <c r="B82">
        <v>1260</v>
      </c>
      <c r="C82">
        <f t="shared" si="1"/>
        <v>1386</v>
      </c>
    </row>
    <row r="83" spans="1:3" x14ac:dyDescent="0.2">
      <c r="A83" t="s">
        <v>116</v>
      </c>
      <c r="B83">
        <v>577.5</v>
      </c>
      <c r="C83">
        <f t="shared" si="1"/>
        <v>635.25</v>
      </c>
    </row>
    <row r="84" spans="1:3" x14ac:dyDescent="0.2">
      <c r="A84" t="s">
        <v>117</v>
      </c>
      <c r="B84">
        <v>577.5</v>
      </c>
      <c r="C84">
        <f t="shared" si="1"/>
        <v>635.25</v>
      </c>
    </row>
    <row r="85" spans="1:3" x14ac:dyDescent="0.2">
      <c r="A85" t="s">
        <v>118</v>
      </c>
      <c r="B85">
        <v>472.5</v>
      </c>
      <c r="C85">
        <f t="shared" si="1"/>
        <v>519.75</v>
      </c>
    </row>
    <row r="86" spans="1:3" x14ac:dyDescent="0.2">
      <c r="A86" t="s">
        <v>119</v>
      </c>
      <c r="B86">
        <v>210</v>
      </c>
      <c r="C86">
        <f t="shared" si="1"/>
        <v>231.00000000000003</v>
      </c>
    </row>
    <row r="87" spans="1:3" x14ac:dyDescent="0.2">
      <c r="A87" t="s">
        <v>120</v>
      </c>
      <c r="B87">
        <v>231</v>
      </c>
      <c r="C87">
        <f t="shared" si="1"/>
        <v>254.10000000000002</v>
      </c>
    </row>
    <row r="88" spans="1:3" x14ac:dyDescent="0.2">
      <c r="A88" t="s">
        <v>121</v>
      </c>
      <c r="B88">
        <v>210</v>
      </c>
      <c r="C88">
        <f t="shared" si="1"/>
        <v>231.00000000000003</v>
      </c>
    </row>
    <row r="89" spans="1:3" x14ac:dyDescent="0.2">
      <c r="A89" t="s">
        <v>122</v>
      </c>
      <c r="B89">
        <v>210</v>
      </c>
      <c r="C89">
        <f t="shared" si="1"/>
        <v>231.00000000000003</v>
      </c>
    </row>
    <row r="90" spans="1:3" x14ac:dyDescent="0.2">
      <c r="A90" t="s">
        <v>123</v>
      </c>
      <c r="B90">
        <v>420</v>
      </c>
      <c r="C90">
        <f t="shared" si="1"/>
        <v>462.00000000000006</v>
      </c>
    </row>
    <row r="91" spans="1:3" x14ac:dyDescent="0.2">
      <c r="A91" t="s">
        <v>262</v>
      </c>
      <c r="B91">
        <v>1200</v>
      </c>
      <c r="C91">
        <f t="shared" si="1"/>
        <v>1320</v>
      </c>
    </row>
    <row r="92" spans="1:3" x14ac:dyDescent="0.2">
      <c r="A92" t="s">
        <v>263</v>
      </c>
      <c r="B92">
        <v>0</v>
      </c>
      <c r="C92">
        <f t="shared" si="1"/>
        <v>0</v>
      </c>
    </row>
    <row r="93" spans="1:3" x14ac:dyDescent="0.2">
      <c r="A93" t="s">
        <v>249</v>
      </c>
      <c r="B93">
        <v>0</v>
      </c>
      <c r="C93">
        <f t="shared" si="1"/>
        <v>0</v>
      </c>
    </row>
    <row r="94" spans="1:3" x14ac:dyDescent="0.2">
      <c r="A94" t="s">
        <v>250</v>
      </c>
      <c r="B94">
        <v>0</v>
      </c>
      <c r="C94">
        <f t="shared" si="1"/>
        <v>0</v>
      </c>
    </row>
    <row r="95" spans="1:3" x14ac:dyDescent="0.2">
      <c r="A95" t="s">
        <v>252</v>
      </c>
      <c r="B95">
        <v>0</v>
      </c>
      <c r="C95">
        <f t="shared" si="1"/>
        <v>0</v>
      </c>
    </row>
    <row r="96" spans="1:3" x14ac:dyDescent="0.2">
      <c r="A96" t="s">
        <v>261</v>
      </c>
      <c r="B96">
        <v>0</v>
      </c>
      <c r="C96">
        <f t="shared" si="1"/>
        <v>0</v>
      </c>
    </row>
    <row r="97" spans="1:3" x14ac:dyDescent="0.2">
      <c r="A97" t="s">
        <v>260</v>
      </c>
      <c r="B97">
        <v>0</v>
      </c>
      <c r="C97">
        <f t="shared" si="1"/>
        <v>0</v>
      </c>
    </row>
    <row r="98" spans="1:3" x14ac:dyDescent="0.2">
      <c r="A98" t="s">
        <v>259</v>
      </c>
      <c r="B98">
        <v>0</v>
      </c>
      <c r="C98">
        <f t="shared" si="1"/>
        <v>0</v>
      </c>
    </row>
    <row r="99" spans="1:3" x14ac:dyDescent="0.2">
      <c r="A99" t="s">
        <v>258</v>
      </c>
      <c r="B99">
        <v>0</v>
      </c>
      <c r="C99">
        <f t="shared" si="1"/>
        <v>0</v>
      </c>
    </row>
    <row r="100" spans="1:3" x14ac:dyDescent="0.2">
      <c r="A100" t="s">
        <v>257</v>
      </c>
      <c r="B100">
        <v>0</v>
      </c>
      <c r="C100">
        <f t="shared" si="1"/>
        <v>0</v>
      </c>
    </row>
    <row r="101" spans="1:3" x14ac:dyDescent="0.2">
      <c r="A101" t="s">
        <v>256</v>
      </c>
      <c r="B101">
        <v>0</v>
      </c>
      <c r="C101">
        <f t="shared" si="1"/>
        <v>0</v>
      </c>
    </row>
    <row r="102" spans="1:3" x14ac:dyDescent="0.2">
      <c r="A102" t="s">
        <v>255</v>
      </c>
      <c r="B102">
        <v>0</v>
      </c>
      <c r="C102">
        <f t="shared" si="1"/>
        <v>0</v>
      </c>
    </row>
    <row r="103" spans="1:3" x14ac:dyDescent="0.2">
      <c r="A103" t="s">
        <v>254</v>
      </c>
      <c r="B103">
        <v>0</v>
      </c>
      <c r="C103">
        <f t="shared" si="1"/>
        <v>0</v>
      </c>
    </row>
    <row r="104" spans="1:3" x14ac:dyDescent="0.2">
      <c r="A104" t="s">
        <v>253</v>
      </c>
      <c r="B104">
        <v>0</v>
      </c>
      <c r="C104">
        <f t="shared" si="1"/>
        <v>0</v>
      </c>
    </row>
    <row r="105" spans="1:3" x14ac:dyDescent="0.2">
      <c r="A105" t="s">
        <v>251</v>
      </c>
      <c r="B105">
        <v>0</v>
      </c>
      <c r="C105">
        <f t="shared" si="1"/>
        <v>0</v>
      </c>
    </row>
    <row r="106" spans="1:3" x14ac:dyDescent="0.2">
      <c r="A106" t="s">
        <v>124</v>
      </c>
      <c r="B106">
        <v>210</v>
      </c>
      <c r="C106">
        <f t="shared" si="1"/>
        <v>231.00000000000003</v>
      </c>
    </row>
    <row r="107" spans="1:3" x14ac:dyDescent="0.2">
      <c r="A107" s="68" t="s">
        <v>125</v>
      </c>
      <c r="B107">
        <v>472.5</v>
      </c>
      <c r="C107">
        <f>B107*1.3</f>
        <v>614.25</v>
      </c>
    </row>
    <row r="108" spans="1:3" x14ac:dyDescent="0.2">
      <c r="A108" s="68" t="s">
        <v>126</v>
      </c>
      <c r="B108">
        <v>1260</v>
      </c>
      <c r="C108">
        <f t="shared" ref="C108:C121" si="2">B108*1.3</f>
        <v>1638</v>
      </c>
    </row>
    <row r="109" spans="1:3" x14ac:dyDescent="0.2">
      <c r="A109" s="68" t="s">
        <v>127</v>
      </c>
      <c r="B109">
        <v>262.5</v>
      </c>
      <c r="C109">
        <f t="shared" si="2"/>
        <v>341.25</v>
      </c>
    </row>
    <row r="110" spans="1:3" x14ac:dyDescent="0.2">
      <c r="A110" s="68" t="s">
        <v>128</v>
      </c>
      <c r="B110">
        <v>157.5</v>
      </c>
      <c r="C110">
        <f t="shared" si="2"/>
        <v>204.75</v>
      </c>
    </row>
    <row r="111" spans="1:3" x14ac:dyDescent="0.2">
      <c r="A111" s="68" t="s">
        <v>129</v>
      </c>
      <c r="B111">
        <v>2625</v>
      </c>
      <c r="C111">
        <f t="shared" si="2"/>
        <v>3412.5</v>
      </c>
    </row>
    <row r="112" spans="1:3" x14ac:dyDescent="0.2">
      <c r="A112" s="70" t="s">
        <v>130</v>
      </c>
      <c r="B112">
        <v>945</v>
      </c>
      <c r="C112">
        <f t="shared" si="2"/>
        <v>1228.5</v>
      </c>
    </row>
    <row r="113" spans="1:3" x14ac:dyDescent="0.2">
      <c r="A113" s="70" t="s">
        <v>131</v>
      </c>
      <c r="B113">
        <v>525</v>
      </c>
      <c r="C113">
        <f t="shared" si="2"/>
        <v>682.5</v>
      </c>
    </row>
    <row r="114" spans="1:3" x14ac:dyDescent="0.2">
      <c r="A114" s="70" t="s">
        <v>132</v>
      </c>
      <c r="B114">
        <v>1680</v>
      </c>
      <c r="C114">
        <f t="shared" si="2"/>
        <v>2184</v>
      </c>
    </row>
    <row r="115" spans="1:3" x14ac:dyDescent="0.2">
      <c r="A115" s="70" t="s">
        <v>133</v>
      </c>
      <c r="B115">
        <v>1974</v>
      </c>
      <c r="C115">
        <f t="shared" si="2"/>
        <v>2566.2000000000003</v>
      </c>
    </row>
    <row r="116" spans="1:3" x14ac:dyDescent="0.2">
      <c r="A116" s="70" t="s">
        <v>134</v>
      </c>
      <c r="B116">
        <v>1365</v>
      </c>
      <c r="C116">
        <f t="shared" si="2"/>
        <v>1774.5</v>
      </c>
    </row>
    <row r="117" spans="1:3" x14ac:dyDescent="0.2">
      <c r="A117" s="70" t="s">
        <v>135</v>
      </c>
      <c r="B117">
        <v>1155</v>
      </c>
      <c r="C117">
        <f t="shared" si="2"/>
        <v>1501.5</v>
      </c>
    </row>
    <row r="118" spans="1:3" x14ac:dyDescent="0.2">
      <c r="A118" s="70" t="s">
        <v>136</v>
      </c>
      <c r="B118">
        <v>577.5</v>
      </c>
      <c r="C118">
        <f t="shared" si="2"/>
        <v>750.75</v>
      </c>
    </row>
    <row r="119" spans="1:3" x14ac:dyDescent="0.2">
      <c r="A119" s="70" t="s">
        <v>137</v>
      </c>
      <c r="B119">
        <v>577.5</v>
      </c>
      <c r="C119">
        <f t="shared" si="2"/>
        <v>750.75</v>
      </c>
    </row>
    <row r="120" spans="1:3" x14ac:dyDescent="0.2">
      <c r="A120" s="70" t="s">
        <v>138</v>
      </c>
      <c r="B120">
        <v>1050</v>
      </c>
      <c r="C120">
        <f t="shared" si="2"/>
        <v>1365</v>
      </c>
    </row>
    <row r="121" spans="1:3" x14ac:dyDescent="0.2">
      <c r="A121" s="70" t="s">
        <v>247</v>
      </c>
      <c r="B121">
        <f>50*'Quotation new'!M2</f>
        <v>2385</v>
      </c>
      <c r="C121">
        <f t="shared" si="2"/>
        <v>3100.5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AC109"/>
  <sheetViews>
    <sheetView topLeftCell="A18" workbookViewId="0">
      <selection activeCell="A31" sqref="A31"/>
    </sheetView>
  </sheetViews>
  <sheetFormatPr defaultRowHeight="12.75" x14ac:dyDescent="0.2"/>
  <cols>
    <col min="1" max="1" width="94.5703125" bestFit="1" customWidth="1"/>
    <col min="2" max="2" width="21" bestFit="1" customWidth="1"/>
    <col min="3" max="3" width="13.5703125" bestFit="1" customWidth="1"/>
    <col min="4" max="4" width="10.28515625" bestFit="1" customWidth="1"/>
    <col min="5" max="5" width="94.5703125" bestFit="1" customWidth="1"/>
    <col min="6" max="6" width="21" bestFit="1" customWidth="1"/>
    <col min="7" max="7" width="13.5703125" bestFit="1" customWidth="1"/>
    <col min="8" max="8" width="12" bestFit="1" customWidth="1"/>
    <col min="9" max="9" width="5.7109375" bestFit="1" customWidth="1"/>
  </cols>
  <sheetData>
    <row r="1" spans="1:29" x14ac:dyDescent="0.2">
      <c r="A1" t="s">
        <v>244</v>
      </c>
      <c r="B1" t="s">
        <v>139</v>
      </c>
      <c r="C1" t="s">
        <v>140</v>
      </c>
      <c r="D1" t="s">
        <v>141</v>
      </c>
      <c r="E1" s="74" t="s">
        <v>246</v>
      </c>
      <c r="F1" t="s">
        <v>139</v>
      </c>
      <c r="G1" t="s">
        <v>140</v>
      </c>
      <c r="H1" t="s">
        <v>141</v>
      </c>
      <c r="I1" s="74">
        <v>1.1000000000000001</v>
      </c>
    </row>
    <row r="2" spans="1:29" x14ac:dyDescent="0.2">
      <c r="A2" t="s">
        <v>142</v>
      </c>
      <c r="B2" s="79">
        <v>1461.075</v>
      </c>
      <c r="C2" s="79">
        <v>2295.9750000000004</v>
      </c>
      <c r="D2" s="79">
        <v>4591.9500000000007</v>
      </c>
      <c r="E2" t="s">
        <v>142</v>
      </c>
      <c r="F2">
        <f>B2*110%</f>
        <v>1607.1825000000001</v>
      </c>
      <c r="G2">
        <f t="shared" ref="G2:H17" si="0">C2*110%</f>
        <v>2525.5725000000007</v>
      </c>
      <c r="H2">
        <f t="shared" si="0"/>
        <v>5051.1450000000013</v>
      </c>
    </row>
    <row r="3" spans="1:29" x14ac:dyDescent="0.2">
      <c r="A3" t="s">
        <v>143</v>
      </c>
      <c r="B3" s="79">
        <v>1669.8</v>
      </c>
      <c r="C3" s="79">
        <v>2643.8500000000004</v>
      </c>
      <c r="D3" s="79">
        <v>5357.2750000000005</v>
      </c>
      <c r="E3" t="s">
        <v>143</v>
      </c>
      <c r="F3">
        <f t="shared" ref="F3:F33" si="1">B3*110%</f>
        <v>1836.7800000000002</v>
      </c>
      <c r="G3">
        <f t="shared" si="0"/>
        <v>2908.2350000000006</v>
      </c>
      <c r="H3">
        <f t="shared" si="0"/>
        <v>5893.0025000000014</v>
      </c>
    </row>
    <row r="4" spans="1:29" x14ac:dyDescent="0.2">
      <c r="A4" t="s">
        <v>144</v>
      </c>
      <c r="B4" s="79">
        <v>1913.3125000000005</v>
      </c>
      <c r="C4" s="79">
        <v>3061.3</v>
      </c>
      <c r="D4" s="79">
        <v>6122.6</v>
      </c>
      <c r="E4" t="s">
        <v>144</v>
      </c>
      <c r="F4">
        <f t="shared" si="1"/>
        <v>2104.6437500000006</v>
      </c>
      <c r="G4">
        <f t="shared" si="0"/>
        <v>3367.4300000000003</v>
      </c>
      <c r="H4">
        <f t="shared" si="0"/>
        <v>6734.8600000000006</v>
      </c>
    </row>
    <row r="5" spans="1:29" x14ac:dyDescent="0.2">
      <c r="A5" t="s">
        <v>145</v>
      </c>
      <c r="B5" s="79">
        <v>3965.775000000001</v>
      </c>
      <c r="C5" s="79">
        <v>7653.2500000000018</v>
      </c>
      <c r="D5" s="79">
        <v>13775.849999999999</v>
      </c>
      <c r="E5" t="s">
        <v>145</v>
      </c>
      <c r="F5">
        <f t="shared" si="1"/>
        <v>4362.3525000000018</v>
      </c>
      <c r="G5">
        <f t="shared" si="0"/>
        <v>8418.5750000000025</v>
      </c>
      <c r="H5">
        <f t="shared" si="0"/>
        <v>15153.434999999999</v>
      </c>
    </row>
    <row r="6" spans="1:29" x14ac:dyDescent="0.2">
      <c r="A6" t="s">
        <v>146</v>
      </c>
      <c r="B6" s="79">
        <v>2643.8500000000004</v>
      </c>
      <c r="C6" s="79">
        <v>3339.6</v>
      </c>
      <c r="D6" s="79">
        <v>6540.0499999999993</v>
      </c>
      <c r="E6" t="s">
        <v>146</v>
      </c>
      <c r="F6">
        <f t="shared" si="1"/>
        <v>2908.2350000000006</v>
      </c>
      <c r="G6">
        <f t="shared" si="0"/>
        <v>3673.5600000000004</v>
      </c>
      <c r="H6">
        <f t="shared" si="0"/>
        <v>7194.0549999999994</v>
      </c>
      <c r="AC6" s="74"/>
    </row>
    <row r="7" spans="1:29" x14ac:dyDescent="0.2">
      <c r="A7" t="s">
        <v>147</v>
      </c>
      <c r="B7" s="79">
        <v>5218.125</v>
      </c>
      <c r="C7" s="79">
        <v>9462.2000000000007</v>
      </c>
      <c r="D7" s="79">
        <v>14193.3</v>
      </c>
      <c r="E7" t="s">
        <v>147</v>
      </c>
      <c r="F7">
        <f t="shared" si="1"/>
        <v>5739.9375000000009</v>
      </c>
      <c r="G7">
        <f t="shared" si="0"/>
        <v>10408.420000000002</v>
      </c>
      <c r="H7">
        <f t="shared" si="0"/>
        <v>15612.630000000001</v>
      </c>
    </row>
    <row r="8" spans="1:29" x14ac:dyDescent="0.2">
      <c r="A8" t="s">
        <v>148</v>
      </c>
      <c r="B8" s="79">
        <v>1669.8</v>
      </c>
      <c r="C8" s="79">
        <v>3061.3</v>
      </c>
      <c r="D8" s="79">
        <v>5566</v>
      </c>
      <c r="E8" t="s">
        <v>148</v>
      </c>
      <c r="F8">
        <f t="shared" si="1"/>
        <v>1836.7800000000002</v>
      </c>
      <c r="G8">
        <f t="shared" si="0"/>
        <v>3367.4300000000003</v>
      </c>
      <c r="H8">
        <f t="shared" si="0"/>
        <v>6122.6</v>
      </c>
    </row>
    <row r="9" spans="1:29" x14ac:dyDescent="0.2">
      <c r="A9" t="s">
        <v>149</v>
      </c>
      <c r="B9" s="79">
        <v>2156.8250000000003</v>
      </c>
      <c r="C9" s="79">
        <v>3826.6250000000009</v>
      </c>
      <c r="D9" s="79">
        <v>8001.1250000000018</v>
      </c>
      <c r="E9" t="s">
        <v>149</v>
      </c>
      <c r="F9">
        <f t="shared" si="1"/>
        <v>2372.5075000000006</v>
      </c>
      <c r="G9">
        <f t="shared" si="0"/>
        <v>4209.2875000000013</v>
      </c>
      <c r="H9">
        <f t="shared" si="0"/>
        <v>8801.2375000000029</v>
      </c>
    </row>
    <row r="10" spans="1:29" x14ac:dyDescent="0.2">
      <c r="A10" t="s">
        <v>150</v>
      </c>
      <c r="B10" s="79">
        <v>2365.5500000000002</v>
      </c>
      <c r="C10" s="79">
        <v>4313.6500000000005</v>
      </c>
      <c r="D10" s="79">
        <v>8696.875</v>
      </c>
      <c r="E10" t="s">
        <v>150</v>
      </c>
      <c r="F10">
        <f t="shared" si="1"/>
        <v>2602.1050000000005</v>
      </c>
      <c r="G10">
        <f t="shared" si="0"/>
        <v>4745.0150000000012</v>
      </c>
      <c r="H10">
        <f t="shared" si="0"/>
        <v>9566.5625</v>
      </c>
    </row>
    <row r="11" spans="1:29" x14ac:dyDescent="0.2">
      <c r="A11" t="s">
        <v>151</v>
      </c>
      <c r="B11" s="79">
        <v>3478.75</v>
      </c>
      <c r="C11" s="79">
        <v>6261.7500000000009</v>
      </c>
      <c r="D11" s="79">
        <v>12940.95</v>
      </c>
      <c r="E11" t="s">
        <v>151</v>
      </c>
      <c r="F11">
        <f t="shared" si="1"/>
        <v>3826.6250000000005</v>
      </c>
      <c r="G11">
        <f t="shared" si="0"/>
        <v>6887.925000000002</v>
      </c>
      <c r="H11">
        <f t="shared" si="0"/>
        <v>14235.045000000002</v>
      </c>
    </row>
    <row r="12" spans="1:29" x14ac:dyDescent="0.2">
      <c r="A12" t="s">
        <v>152</v>
      </c>
      <c r="B12" s="79">
        <v>1808.9500000000005</v>
      </c>
      <c r="C12" s="79">
        <v>3826.6250000000009</v>
      </c>
      <c r="D12" s="79">
        <v>7653.2500000000018</v>
      </c>
      <c r="E12" t="s">
        <v>152</v>
      </c>
      <c r="F12">
        <f t="shared" si="1"/>
        <v>1989.8450000000007</v>
      </c>
      <c r="G12">
        <f t="shared" si="0"/>
        <v>4209.2875000000013</v>
      </c>
      <c r="H12">
        <f t="shared" si="0"/>
        <v>8418.5750000000025</v>
      </c>
    </row>
    <row r="13" spans="1:29" x14ac:dyDescent="0.2">
      <c r="A13" t="s">
        <v>153</v>
      </c>
      <c r="B13" s="79">
        <v>4731.1000000000004</v>
      </c>
      <c r="C13" s="79">
        <v>8279.4250000000011</v>
      </c>
      <c r="D13" s="79">
        <v>14193.3</v>
      </c>
      <c r="E13" t="s">
        <v>153</v>
      </c>
      <c r="F13">
        <f t="shared" si="1"/>
        <v>5204.2100000000009</v>
      </c>
      <c r="G13">
        <f t="shared" si="0"/>
        <v>9107.3675000000021</v>
      </c>
      <c r="H13">
        <f t="shared" si="0"/>
        <v>15612.630000000001</v>
      </c>
    </row>
    <row r="14" spans="1:29" x14ac:dyDescent="0.2">
      <c r="A14" t="s">
        <v>154</v>
      </c>
      <c r="B14" s="79">
        <v>5218.125</v>
      </c>
      <c r="C14" s="79">
        <v>9531.7750000000015</v>
      </c>
      <c r="D14" s="79">
        <v>15306.500000000004</v>
      </c>
      <c r="E14" t="s">
        <v>154</v>
      </c>
      <c r="F14">
        <f t="shared" si="1"/>
        <v>5739.9375000000009</v>
      </c>
      <c r="G14">
        <f t="shared" si="0"/>
        <v>10484.952500000003</v>
      </c>
      <c r="H14">
        <f t="shared" si="0"/>
        <v>16837.150000000005</v>
      </c>
    </row>
    <row r="15" spans="1:29" x14ac:dyDescent="0.2">
      <c r="A15" t="s">
        <v>155</v>
      </c>
      <c r="B15" s="79">
        <v>4313.6500000000005</v>
      </c>
      <c r="C15" s="79">
        <v>8279.4250000000011</v>
      </c>
      <c r="D15" s="79">
        <v>12940.95</v>
      </c>
      <c r="E15" t="s">
        <v>155</v>
      </c>
      <c r="F15">
        <f t="shared" si="1"/>
        <v>4745.0150000000012</v>
      </c>
      <c r="G15">
        <f t="shared" si="0"/>
        <v>9107.3675000000021</v>
      </c>
      <c r="H15">
        <f t="shared" si="0"/>
        <v>14235.045000000002</v>
      </c>
    </row>
    <row r="16" spans="1:29" x14ac:dyDescent="0.2">
      <c r="A16" t="s">
        <v>156</v>
      </c>
      <c r="B16" s="79">
        <v>10714.550000000001</v>
      </c>
      <c r="C16" s="79">
        <v>19133.125</v>
      </c>
      <c r="D16" s="79">
        <v>29221.500000000007</v>
      </c>
      <c r="E16" t="s">
        <v>156</v>
      </c>
      <c r="F16">
        <f t="shared" si="1"/>
        <v>11786.005000000003</v>
      </c>
      <c r="G16">
        <f t="shared" si="0"/>
        <v>21046.4375</v>
      </c>
      <c r="H16">
        <f t="shared" si="0"/>
        <v>32143.650000000012</v>
      </c>
    </row>
    <row r="17" spans="1:8" x14ac:dyDescent="0.2">
      <c r="A17" t="s">
        <v>157</v>
      </c>
      <c r="B17" s="79">
        <v>9462.2000000000007</v>
      </c>
      <c r="C17" s="79">
        <v>14193.3</v>
      </c>
      <c r="D17" s="79">
        <v>26021.05</v>
      </c>
      <c r="E17" t="s">
        <v>157</v>
      </c>
      <c r="F17">
        <f t="shared" si="1"/>
        <v>10408.420000000002</v>
      </c>
      <c r="G17">
        <f t="shared" si="0"/>
        <v>15612.630000000001</v>
      </c>
      <c r="H17">
        <f t="shared" si="0"/>
        <v>28623.155000000002</v>
      </c>
    </row>
    <row r="18" spans="1:8" x14ac:dyDescent="0.2">
      <c r="A18" t="s">
        <v>158</v>
      </c>
      <c r="B18" s="79">
        <v>5566</v>
      </c>
      <c r="C18" s="79">
        <v>10992.85</v>
      </c>
      <c r="D18" s="79">
        <v>16698.000000000004</v>
      </c>
      <c r="E18" t="s">
        <v>158</v>
      </c>
      <c r="F18">
        <f t="shared" si="1"/>
        <v>6122.6</v>
      </c>
      <c r="G18">
        <f t="shared" ref="G18:G33" si="2">C18*110%</f>
        <v>12092.135000000002</v>
      </c>
      <c r="H18">
        <f t="shared" ref="H18:H33" si="3">D18*110%</f>
        <v>18367.800000000007</v>
      </c>
    </row>
    <row r="19" spans="1:8" x14ac:dyDescent="0.2">
      <c r="A19" t="s">
        <v>159</v>
      </c>
      <c r="B19" s="79">
        <v>8070.7000000000016</v>
      </c>
      <c r="C19" s="79">
        <v>12940.95</v>
      </c>
      <c r="D19" s="79">
        <v>23655.500000000004</v>
      </c>
      <c r="E19" t="s">
        <v>159</v>
      </c>
      <c r="F19">
        <f t="shared" si="1"/>
        <v>8877.7700000000023</v>
      </c>
      <c r="G19">
        <f t="shared" si="2"/>
        <v>14235.045000000002</v>
      </c>
      <c r="H19">
        <f t="shared" si="3"/>
        <v>26021.050000000007</v>
      </c>
    </row>
    <row r="20" spans="1:8" x14ac:dyDescent="0.2">
      <c r="A20" t="s">
        <v>160</v>
      </c>
      <c r="B20" s="79">
        <v>4174.5000000000009</v>
      </c>
      <c r="C20" s="79">
        <v>6957.5</v>
      </c>
      <c r="D20" s="79">
        <v>11479.875000000002</v>
      </c>
      <c r="E20" t="s">
        <v>160</v>
      </c>
      <c r="F20">
        <f t="shared" si="1"/>
        <v>4591.9500000000016</v>
      </c>
      <c r="G20">
        <f t="shared" si="2"/>
        <v>7653.2500000000009</v>
      </c>
      <c r="H20">
        <f t="shared" si="3"/>
        <v>12627.862500000003</v>
      </c>
    </row>
    <row r="21" spans="1:8" x14ac:dyDescent="0.2">
      <c r="A21" t="s">
        <v>161</v>
      </c>
      <c r="B21" s="79">
        <v>5218.125</v>
      </c>
      <c r="C21" s="79">
        <v>9601.35</v>
      </c>
      <c r="D21" s="79">
        <v>15306.500000000004</v>
      </c>
      <c r="E21" t="s">
        <v>161</v>
      </c>
      <c r="F21">
        <f t="shared" si="1"/>
        <v>5739.9375000000009</v>
      </c>
      <c r="G21">
        <f t="shared" si="2"/>
        <v>10561.485000000001</v>
      </c>
      <c r="H21">
        <f t="shared" si="3"/>
        <v>16837.150000000005</v>
      </c>
    </row>
    <row r="22" spans="1:8" x14ac:dyDescent="0.2">
      <c r="A22" t="s">
        <v>162</v>
      </c>
      <c r="B22" s="79">
        <v>5218.125</v>
      </c>
      <c r="C22" s="79">
        <v>9462.2000000000007</v>
      </c>
      <c r="D22" s="79">
        <v>15306.500000000004</v>
      </c>
      <c r="E22" t="s">
        <v>162</v>
      </c>
      <c r="F22">
        <f t="shared" si="1"/>
        <v>5739.9375000000009</v>
      </c>
      <c r="G22">
        <f t="shared" si="2"/>
        <v>10408.420000000002</v>
      </c>
      <c r="H22">
        <f t="shared" si="3"/>
        <v>16837.150000000005</v>
      </c>
    </row>
    <row r="23" spans="1:8" x14ac:dyDescent="0.2">
      <c r="A23" t="s">
        <v>163</v>
      </c>
      <c r="B23" s="79">
        <v>10853.7</v>
      </c>
      <c r="C23" s="79">
        <v>15584.800000000003</v>
      </c>
      <c r="D23" s="79">
        <v>29221.500000000007</v>
      </c>
      <c r="E23" t="s">
        <v>163</v>
      </c>
      <c r="F23">
        <f t="shared" si="1"/>
        <v>11939.070000000002</v>
      </c>
      <c r="G23">
        <f t="shared" si="2"/>
        <v>17143.280000000006</v>
      </c>
      <c r="H23">
        <f t="shared" si="3"/>
        <v>32143.650000000012</v>
      </c>
    </row>
    <row r="24" spans="1:8" x14ac:dyDescent="0.2">
      <c r="A24" t="s">
        <v>164</v>
      </c>
      <c r="B24" s="79">
        <v>8070.7000000000016</v>
      </c>
      <c r="C24" s="79">
        <v>13010.525</v>
      </c>
      <c r="D24" s="79">
        <v>22959.750000000004</v>
      </c>
      <c r="E24" t="s">
        <v>164</v>
      </c>
      <c r="F24">
        <f t="shared" si="1"/>
        <v>8877.7700000000023</v>
      </c>
      <c r="G24">
        <f t="shared" si="2"/>
        <v>14311.577500000001</v>
      </c>
      <c r="H24">
        <f t="shared" si="3"/>
        <v>25255.725000000006</v>
      </c>
    </row>
    <row r="25" spans="1:8" x14ac:dyDescent="0.2">
      <c r="A25" t="s">
        <v>165</v>
      </c>
      <c r="B25" s="79">
        <v>8070.7000000000016</v>
      </c>
      <c r="C25" s="79">
        <v>13010.525</v>
      </c>
      <c r="D25" s="79">
        <v>22959.750000000004</v>
      </c>
      <c r="E25" t="s">
        <v>165</v>
      </c>
      <c r="F25">
        <f t="shared" si="1"/>
        <v>8877.7700000000023</v>
      </c>
      <c r="G25">
        <f t="shared" si="2"/>
        <v>14311.577500000001</v>
      </c>
      <c r="H25">
        <f t="shared" si="3"/>
        <v>25255.725000000006</v>
      </c>
    </row>
    <row r="26" spans="1:8" x14ac:dyDescent="0.2">
      <c r="A26" t="s">
        <v>166</v>
      </c>
      <c r="B26" s="79">
        <v>5218.125</v>
      </c>
      <c r="C26" s="79">
        <v>9462.2000000000007</v>
      </c>
      <c r="D26" s="79">
        <v>16002.250000000004</v>
      </c>
      <c r="E26" t="s">
        <v>166</v>
      </c>
      <c r="F26">
        <f t="shared" si="1"/>
        <v>5739.9375000000009</v>
      </c>
      <c r="G26">
        <f t="shared" si="2"/>
        <v>10408.420000000002</v>
      </c>
      <c r="H26">
        <f t="shared" si="3"/>
        <v>17602.475000000006</v>
      </c>
    </row>
    <row r="27" spans="1:8" x14ac:dyDescent="0.2">
      <c r="A27" t="s">
        <v>167</v>
      </c>
      <c r="B27" s="79">
        <v>8905.6</v>
      </c>
      <c r="C27" s="79">
        <v>14193.3</v>
      </c>
      <c r="D27" s="79">
        <v>25047.000000000004</v>
      </c>
      <c r="E27" t="s">
        <v>167</v>
      </c>
      <c r="F27">
        <f t="shared" si="1"/>
        <v>9796.1600000000017</v>
      </c>
      <c r="G27">
        <f t="shared" si="2"/>
        <v>15612.630000000001</v>
      </c>
      <c r="H27">
        <f t="shared" si="3"/>
        <v>27551.700000000008</v>
      </c>
    </row>
    <row r="28" spans="1:8" x14ac:dyDescent="0.2">
      <c r="A28" t="s">
        <v>168</v>
      </c>
      <c r="B28" s="79">
        <v>9462.2000000000007</v>
      </c>
      <c r="C28" s="79">
        <v>15306.500000000004</v>
      </c>
      <c r="D28" s="79">
        <v>29221.500000000007</v>
      </c>
      <c r="E28" t="s">
        <v>168</v>
      </c>
      <c r="F28">
        <f t="shared" si="1"/>
        <v>10408.420000000002</v>
      </c>
      <c r="G28">
        <f t="shared" si="2"/>
        <v>16837.150000000005</v>
      </c>
      <c r="H28">
        <f t="shared" si="3"/>
        <v>32143.650000000012</v>
      </c>
    </row>
    <row r="29" spans="1:8" x14ac:dyDescent="0.2">
      <c r="A29" t="s">
        <v>169</v>
      </c>
      <c r="B29" s="79">
        <v>14193.3</v>
      </c>
      <c r="C29" s="79">
        <v>23655.500000000004</v>
      </c>
      <c r="D29" s="79">
        <v>36874.75</v>
      </c>
      <c r="E29" t="s">
        <v>169</v>
      </c>
      <c r="F29">
        <f t="shared" si="1"/>
        <v>15612.630000000001</v>
      </c>
      <c r="G29">
        <f t="shared" si="2"/>
        <v>26021.050000000007</v>
      </c>
      <c r="H29">
        <f t="shared" si="3"/>
        <v>40562.225000000006</v>
      </c>
    </row>
    <row r="30" spans="1:8" x14ac:dyDescent="0.2">
      <c r="A30" t="s">
        <v>170</v>
      </c>
      <c r="B30" s="79">
        <v>18924.400000000001</v>
      </c>
      <c r="C30" s="79">
        <v>27830</v>
      </c>
      <c r="D30" s="79">
        <v>47311.000000000007</v>
      </c>
      <c r="E30" t="s">
        <v>170</v>
      </c>
      <c r="F30">
        <f t="shared" si="1"/>
        <v>20816.840000000004</v>
      </c>
      <c r="G30">
        <f t="shared" si="2"/>
        <v>30613.000000000004</v>
      </c>
      <c r="H30">
        <f t="shared" si="3"/>
        <v>52042.100000000013</v>
      </c>
    </row>
    <row r="31" spans="1:8" x14ac:dyDescent="0.2">
      <c r="A31" t="s">
        <v>248</v>
      </c>
      <c r="B31" s="79">
        <v>5000</v>
      </c>
      <c r="C31" s="79">
        <v>9000</v>
      </c>
      <c r="D31" s="79">
        <v>16000</v>
      </c>
      <c r="E31" t="s">
        <v>248</v>
      </c>
      <c r="F31">
        <f t="shared" si="1"/>
        <v>5500</v>
      </c>
      <c r="G31">
        <f t="shared" si="2"/>
        <v>9900</v>
      </c>
      <c r="H31">
        <f t="shared" si="3"/>
        <v>17600</v>
      </c>
    </row>
    <row r="32" spans="1:8" x14ac:dyDescent="0.2">
      <c r="A32" t="s">
        <v>171</v>
      </c>
      <c r="B32" s="79">
        <v>2295.9750000000004</v>
      </c>
      <c r="C32" s="79">
        <v>3896.2000000000007</v>
      </c>
      <c r="D32" s="79">
        <v>83490</v>
      </c>
      <c r="E32" t="s">
        <v>171</v>
      </c>
      <c r="F32">
        <f t="shared" si="1"/>
        <v>2525.5725000000007</v>
      </c>
      <c r="G32">
        <f t="shared" si="2"/>
        <v>4285.8200000000015</v>
      </c>
      <c r="H32">
        <f t="shared" si="3"/>
        <v>91839.000000000015</v>
      </c>
    </row>
    <row r="33" spans="1:29" x14ac:dyDescent="0.2">
      <c r="A33" s="67" t="s">
        <v>172</v>
      </c>
      <c r="B33" s="79">
        <v>0</v>
      </c>
      <c r="C33" s="79">
        <v>0</v>
      </c>
      <c r="D33" s="79">
        <v>0</v>
      </c>
      <c r="E33" s="67" t="s">
        <v>172</v>
      </c>
      <c r="F33">
        <f t="shared" si="1"/>
        <v>0</v>
      </c>
      <c r="G33">
        <f t="shared" si="2"/>
        <v>0</v>
      </c>
      <c r="H33">
        <f t="shared" si="3"/>
        <v>0</v>
      </c>
    </row>
    <row r="34" spans="1:29" x14ac:dyDescent="0.2">
      <c r="A34" t="s">
        <v>173</v>
      </c>
      <c r="B34" s="79">
        <v>931.04000000000008</v>
      </c>
      <c r="C34" s="79">
        <v>1520.2137499999999</v>
      </c>
      <c r="D34" s="79">
        <v>3469.5787500000001</v>
      </c>
      <c r="E34" t="s">
        <v>173</v>
      </c>
      <c r="F34">
        <f>B34*130%</f>
        <v>1210.3520000000001</v>
      </c>
      <c r="G34">
        <f>C34*130%</f>
        <v>1976.277875</v>
      </c>
      <c r="H34">
        <f>D34*130%</f>
        <v>4510.4523750000008</v>
      </c>
    </row>
    <row r="35" spans="1:29" x14ac:dyDescent="0.2">
      <c r="A35" t="s">
        <v>174</v>
      </c>
      <c r="B35" s="79">
        <v>981.95624999999984</v>
      </c>
      <c r="C35" s="79">
        <v>1542.0350000000001</v>
      </c>
      <c r="D35" s="79">
        <v>3513.2212500000001</v>
      </c>
      <c r="E35" t="s">
        <v>174</v>
      </c>
      <c r="F35">
        <f t="shared" ref="F35:F92" si="4">B35*130%</f>
        <v>1276.5431249999999</v>
      </c>
      <c r="G35">
        <f t="shared" ref="G35:G92" si="5">C35*130%</f>
        <v>2004.6455000000001</v>
      </c>
      <c r="H35">
        <f t="shared" ref="H35:H92" si="6">D35*130%</f>
        <v>4567.1876250000005</v>
      </c>
    </row>
    <row r="36" spans="1:29" x14ac:dyDescent="0.2">
      <c r="A36" t="s">
        <v>175</v>
      </c>
      <c r="B36" s="79">
        <v>771.01750000000004</v>
      </c>
      <c r="C36" s="79">
        <v>1265.6324999999999</v>
      </c>
      <c r="D36" s="79">
        <v>2836.7625000000003</v>
      </c>
      <c r="E36" t="s">
        <v>175</v>
      </c>
      <c r="F36">
        <f t="shared" si="4"/>
        <v>1002.32275</v>
      </c>
      <c r="G36">
        <f t="shared" si="5"/>
        <v>1645.3222499999999</v>
      </c>
      <c r="H36">
        <f t="shared" si="6"/>
        <v>3687.7912500000007</v>
      </c>
    </row>
    <row r="37" spans="1:29" x14ac:dyDescent="0.2">
      <c r="A37" t="s">
        <v>176</v>
      </c>
      <c r="B37" s="79">
        <v>2313.0524999999998</v>
      </c>
      <c r="C37" s="79">
        <v>4087.8474999999994</v>
      </c>
      <c r="D37" s="79">
        <v>6990.0737499999996</v>
      </c>
      <c r="E37" t="s">
        <v>176</v>
      </c>
      <c r="F37">
        <f t="shared" si="4"/>
        <v>3006.9682499999999</v>
      </c>
      <c r="G37">
        <f t="shared" si="5"/>
        <v>5314.2017499999993</v>
      </c>
      <c r="H37">
        <f t="shared" si="6"/>
        <v>9087.0958749999991</v>
      </c>
    </row>
    <row r="38" spans="1:29" x14ac:dyDescent="0.2">
      <c r="A38" t="s">
        <v>177</v>
      </c>
      <c r="B38" s="79">
        <v>3404.1149999999998</v>
      </c>
      <c r="C38" s="79">
        <v>5855.3687500000005</v>
      </c>
      <c r="D38" s="79">
        <v>10561.484999999999</v>
      </c>
      <c r="E38" t="s">
        <v>177</v>
      </c>
      <c r="F38">
        <f t="shared" si="4"/>
        <v>4425.3495000000003</v>
      </c>
      <c r="G38">
        <f t="shared" si="5"/>
        <v>7611.9793750000008</v>
      </c>
      <c r="H38">
        <f t="shared" si="6"/>
        <v>13729.930499999999</v>
      </c>
      <c r="AC38" s="67"/>
    </row>
    <row r="39" spans="1:29" x14ac:dyDescent="0.2">
      <c r="A39" t="s">
        <v>178</v>
      </c>
      <c r="B39" s="79">
        <v>3396.8412500000004</v>
      </c>
      <c r="C39" s="79">
        <v>5768.0837499999998</v>
      </c>
      <c r="D39" s="79">
        <v>10496.02125</v>
      </c>
      <c r="E39" t="s">
        <v>178</v>
      </c>
      <c r="F39">
        <f t="shared" si="4"/>
        <v>4415.8936250000006</v>
      </c>
      <c r="G39">
        <f t="shared" si="5"/>
        <v>7498.5088749999995</v>
      </c>
      <c r="H39">
        <f t="shared" si="6"/>
        <v>13644.827625</v>
      </c>
    </row>
    <row r="40" spans="1:29" x14ac:dyDescent="0.2">
      <c r="A40" t="s">
        <v>179</v>
      </c>
      <c r="B40" s="79">
        <v>5135.2674999999999</v>
      </c>
      <c r="C40" s="79">
        <v>8786.6899999999987</v>
      </c>
      <c r="D40" s="79">
        <v>15907.691249999998</v>
      </c>
      <c r="E40" t="s">
        <v>179</v>
      </c>
      <c r="F40">
        <f t="shared" si="4"/>
        <v>6675.8477499999999</v>
      </c>
      <c r="G40">
        <f t="shared" si="5"/>
        <v>11422.696999999998</v>
      </c>
      <c r="H40">
        <f t="shared" si="6"/>
        <v>20679.998624999997</v>
      </c>
    </row>
    <row r="41" spans="1:29" x14ac:dyDescent="0.2">
      <c r="A41" t="s">
        <v>180</v>
      </c>
      <c r="B41" s="79">
        <v>4335.1549999999997</v>
      </c>
      <c r="C41" s="79">
        <v>7055.5374999999995</v>
      </c>
      <c r="D41" s="79">
        <v>15907.691249999998</v>
      </c>
      <c r="E41" t="s">
        <v>180</v>
      </c>
      <c r="F41">
        <f t="shared" si="4"/>
        <v>5635.7015000000001</v>
      </c>
      <c r="G41">
        <f t="shared" si="5"/>
        <v>9172.1987499999996</v>
      </c>
      <c r="H41">
        <f t="shared" si="6"/>
        <v>20679.998624999997</v>
      </c>
    </row>
    <row r="42" spans="1:29" x14ac:dyDescent="0.2">
      <c r="A42" t="s">
        <v>181</v>
      </c>
      <c r="B42" s="79">
        <v>6575.47</v>
      </c>
      <c r="C42" s="79">
        <v>10692.4125</v>
      </c>
      <c r="D42" s="79">
        <v>18977.213749999999</v>
      </c>
      <c r="E42" t="s">
        <v>181</v>
      </c>
      <c r="F42">
        <f t="shared" si="4"/>
        <v>8548.1110000000008</v>
      </c>
      <c r="G42">
        <f t="shared" si="5"/>
        <v>13900.136250000001</v>
      </c>
      <c r="H42">
        <f t="shared" si="6"/>
        <v>24670.377874999998</v>
      </c>
    </row>
    <row r="43" spans="1:29" x14ac:dyDescent="0.2">
      <c r="A43" t="s">
        <v>182</v>
      </c>
      <c r="B43" s="79">
        <v>16256.831249999997</v>
      </c>
      <c r="C43" s="79">
        <v>20766.556250000001</v>
      </c>
      <c r="D43" s="79">
        <v>38565.422499999993</v>
      </c>
      <c r="E43" t="s">
        <v>182</v>
      </c>
      <c r="F43">
        <f t="shared" si="4"/>
        <v>21133.880624999998</v>
      </c>
      <c r="G43">
        <f t="shared" si="5"/>
        <v>26996.523125000003</v>
      </c>
      <c r="H43">
        <f t="shared" si="6"/>
        <v>50135.049249999996</v>
      </c>
    </row>
    <row r="44" spans="1:29" x14ac:dyDescent="0.2">
      <c r="A44" t="s">
        <v>183</v>
      </c>
      <c r="B44" s="79">
        <v>2160.30375</v>
      </c>
      <c r="C44" s="79">
        <v>3324.1037500000002</v>
      </c>
      <c r="D44" s="79">
        <v>4473.3562499999989</v>
      </c>
      <c r="E44" t="s">
        <v>183</v>
      </c>
      <c r="F44">
        <f t="shared" si="4"/>
        <v>2808.394875</v>
      </c>
      <c r="G44">
        <f t="shared" si="5"/>
        <v>4321.3348750000005</v>
      </c>
      <c r="H44">
        <f t="shared" si="6"/>
        <v>5815.3631249999989</v>
      </c>
    </row>
    <row r="45" spans="1:29" x14ac:dyDescent="0.2">
      <c r="A45" t="s">
        <v>184</v>
      </c>
      <c r="B45" s="79">
        <v>2829.48875</v>
      </c>
      <c r="C45" s="79">
        <v>4226.0487499999999</v>
      </c>
      <c r="D45" s="79">
        <v>5462.5862499999994</v>
      </c>
      <c r="E45" t="s">
        <v>184</v>
      </c>
      <c r="F45">
        <f t="shared" si="4"/>
        <v>3678.3353750000001</v>
      </c>
      <c r="G45">
        <f t="shared" si="5"/>
        <v>5493.8633749999999</v>
      </c>
      <c r="H45">
        <f t="shared" si="6"/>
        <v>7101.3621249999997</v>
      </c>
    </row>
    <row r="46" spans="1:29" x14ac:dyDescent="0.2">
      <c r="A46" t="s">
        <v>185</v>
      </c>
      <c r="B46" s="79">
        <v>2829.48875</v>
      </c>
      <c r="C46" s="79">
        <v>4226.0487499999999</v>
      </c>
      <c r="D46" s="79">
        <v>5462.5862499999994</v>
      </c>
      <c r="E46" t="s">
        <v>185</v>
      </c>
      <c r="F46">
        <f t="shared" si="4"/>
        <v>3678.3353750000001</v>
      </c>
      <c r="G46">
        <f t="shared" si="5"/>
        <v>5493.8633749999999</v>
      </c>
      <c r="H46">
        <f t="shared" si="6"/>
        <v>7101.3621249999997</v>
      </c>
    </row>
    <row r="47" spans="1:29" x14ac:dyDescent="0.2">
      <c r="A47" t="s">
        <v>131</v>
      </c>
      <c r="B47" s="79">
        <v>5884.4637499999999</v>
      </c>
      <c r="C47" s="79">
        <v>8604.8462499999987</v>
      </c>
      <c r="D47" s="79">
        <v>15594.919999999998</v>
      </c>
      <c r="E47" t="s">
        <v>131</v>
      </c>
      <c r="F47">
        <f t="shared" si="4"/>
        <v>7649.8028750000003</v>
      </c>
      <c r="G47">
        <f t="shared" si="5"/>
        <v>11186.300124999998</v>
      </c>
      <c r="H47">
        <f t="shared" si="6"/>
        <v>20273.395999999997</v>
      </c>
    </row>
    <row r="48" spans="1:29" x14ac:dyDescent="0.2">
      <c r="A48" t="s">
        <v>186</v>
      </c>
      <c r="B48" s="79">
        <v>6059.0337500000005</v>
      </c>
      <c r="C48" s="79">
        <v>8866.7012499999983</v>
      </c>
      <c r="D48" s="79">
        <v>15834.953749999997</v>
      </c>
      <c r="E48" t="s">
        <v>186</v>
      </c>
      <c r="F48">
        <f t="shared" si="4"/>
        <v>7876.743875000001</v>
      </c>
      <c r="G48">
        <f t="shared" si="5"/>
        <v>11526.711624999998</v>
      </c>
      <c r="H48">
        <f t="shared" si="6"/>
        <v>20585.439874999996</v>
      </c>
    </row>
    <row r="49" spans="1:8" x14ac:dyDescent="0.2">
      <c r="A49" t="s">
        <v>187</v>
      </c>
      <c r="B49" s="79">
        <v>3964.1937499999995</v>
      </c>
      <c r="C49" s="79">
        <v>6029.9387500000003</v>
      </c>
      <c r="D49" s="79">
        <v>13085.47625</v>
      </c>
      <c r="E49" t="s">
        <v>187</v>
      </c>
      <c r="F49">
        <f t="shared" si="4"/>
        <v>5153.4518749999997</v>
      </c>
      <c r="G49">
        <f t="shared" si="5"/>
        <v>7838.9203750000006</v>
      </c>
      <c r="H49">
        <f t="shared" si="6"/>
        <v>17011.119125000001</v>
      </c>
    </row>
    <row r="50" spans="1:8" x14ac:dyDescent="0.2">
      <c r="A50" t="s">
        <v>188</v>
      </c>
      <c r="B50" s="79">
        <v>5360.7537499999999</v>
      </c>
      <c r="C50" s="79">
        <v>7746.5437499999989</v>
      </c>
      <c r="D50" s="79">
        <v>15500.361249999998</v>
      </c>
      <c r="E50" t="s">
        <v>188</v>
      </c>
      <c r="F50">
        <f t="shared" si="4"/>
        <v>6968.979875</v>
      </c>
      <c r="G50">
        <f t="shared" si="5"/>
        <v>10070.506874999999</v>
      </c>
      <c r="H50">
        <f t="shared" si="6"/>
        <v>20150.469624999998</v>
      </c>
    </row>
    <row r="51" spans="1:8" x14ac:dyDescent="0.2">
      <c r="A51" t="s">
        <v>189</v>
      </c>
      <c r="B51" s="79">
        <v>14896.640000000001</v>
      </c>
      <c r="C51" s="79">
        <v>19079.046249999999</v>
      </c>
      <c r="D51" s="79">
        <v>34557.586249999993</v>
      </c>
      <c r="E51" t="s">
        <v>189</v>
      </c>
      <c r="F51">
        <f t="shared" si="4"/>
        <v>19365.632000000001</v>
      </c>
      <c r="G51">
        <f t="shared" si="5"/>
        <v>24802.760125000001</v>
      </c>
      <c r="H51">
        <f t="shared" si="6"/>
        <v>44924.862124999992</v>
      </c>
    </row>
    <row r="52" spans="1:8" x14ac:dyDescent="0.2">
      <c r="A52" t="s">
        <v>190</v>
      </c>
      <c r="B52" s="79">
        <v>16605.971249999999</v>
      </c>
      <c r="C52" s="79">
        <v>20941.126249999998</v>
      </c>
      <c r="D52" s="79">
        <v>37452.538749999992</v>
      </c>
      <c r="E52" t="s">
        <v>190</v>
      </c>
      <c r="F52">
        <f t="shared" si="4"/>
        <v>21587.762624999999</v>
      </c>
      <c r="G52">
        <f t="shared" si="5"/>
        <v>27223.464124999999</v>
      </c>
      <c r="H52">
        <f t="shared" si="6"/>
        <v>48688.300374999992</v>
      </c>
    </row>
    <row r="53" spans="1:8" x14ac:dyDescent="0.2">
      <c r="A53" t="s">
        <v>191</v>
      </c>
      <c r="B53" s="79">
        <v>17595.201249999998</v>
      </c>
      <c r="C53" s="79">
        <v>21784.881250000002</v>
      </c>
      <c r="D53" s="79">
        <v>39154.596249999995</v>
      </c>
      <c r="E53" t="s">
        <v>191</v>
      </c>
      <c r="F53">
        <f t="shared" si="4"/>
        <v>22873.761624999999</v>
      </c>
      <c r="G53">
        <f t="shared" si="5"/>
        <v>28320.345625000005</v>
      </c>
      <c r="H53">
        <f t="shared" si="6"/>
        <v>50900.975124999997</v>
      </c>
    </row>
    <row r="54" spans="1:8" x14ac:dyDescent="0.2">
      <c r="A54" t="s">
        <v>192</v>
      </c>
      <c r="B54" s="79">
        <v>18053.447499999995</v>
      </c>
      <c r="C54" s="79">
        <v>22475.887500000001</v>
      </c>
      <c r="D54" s="79">
        <v>40507.513749999991</v>
      </c>
      <c r="E54" t="s">
        <v>192</v>
      </c>
      <c r="F54">
        <f t="shared" si="4"/>
        <v>23469.481749999995</v>
      </c>
      <c r="G54">
        <f t="shared" si="5"/>
        <v>29218.653750000001</v>
      </c>
      <c r="H54">
        <f t="shared" si="6"/>
        <v>52659.76787499999</v>
      </c>
    </row>
    <row r="55" spans="1:8" x14ac:dyDescent="0.2">
      <c r="A55" t="s">
        <v>193</v>
      </c>
      <c r="B55" s="79">
        <v>17878.877499999999</v>
      </c>
      <c r="C55" s="79">
        <v>22985.050000000003</v>
      </c>
      <c r="D55" s="79">
        <v>41700.408749999995</v>
      </c>
      <c r="E55" t="s">
        <v>193</v>
      </c>
      <c r="F55">
        <f t="shared" si="4"/>
        <v>23242.54075</v>
      </c>
      <c r="G55">
        <f t="shared" si="5"/>
        <v>29880.565000000006</v>
      </c>
      <c r="H55">
        <f t="shared" si="6"/>
        <v>54210.531374999999</v>
      </c>
    </row>
    <row r="56" spans="1:8" x14ac:dyDescent="0.2">
      <c r="A56" t="s">
        <v>194</v>
      </c>
      <c r="B56" s="79">
        <v>12096.24625</v>
      </c>
      <c r="C56" s="79">
        <v>15318.517499999998</v>
      </c>
      <c r="D56" s="79">
        <v>26898.327499999999</v>
      </c>
      <c r="E56" t="s">
        <v>194</v>
      </c>
      <c r="F56">
        <f t="shared" si="4"/>
        <v>15725.120125000001</v>
      </c>
      <c r="G56">
        <f t="shared" si="5"/>
        <v>19914.072749999999</v>
      </c>
      <c r="H56">
        <f t="shared" si="6"/>
        <v>34967.825750000004</v>
      </c>
    </row>
    <row r="57" spans="1:8" x14ac:dyDescent="0.2">
      <c r="A57" t="s">
        <v>195</v>
      </c>
      <c r="B57" s="79">
        <v>26221.868749999998</v>
      </c>
      <c r="C57" s="79">
        <v>33357.417499999996</v>
      </c>
      <c r="D57" s="79">
        <v>52611.033749999995</v>
      </c>
      <c r="E57" t="s">
        <v>195</v>
      </c>
      <c r="F57">
        <f t="shared" si="4"/>
        <v>34088.429375</v>
      </c>
      <c r="G57">
        <f t="shared" si="5"/>
        <v>43364.642749999999</v>
      </c>
      <c r="H57">
        <f t="shared" si="6"/>
        <v>68394.343874999991</v>
      </c>
    </row>
    <row r="58" spans="1:8" x14ac:dyDescent="0.2">
      <c r="A58" t="s">
        <v>196</v>
      </c>
      <c r="B58" s="79">
        <v>8262.98</v>
      </c>
      <c r="C58" s="79">
        <v>11710.737500000001</v>
      </c>
      <c r="D58" s="79">
        <v>22126.747500000001</v>
      </c>
      <c r="E58" t="s">
        <v>196</v>
      </c>
      <c r="F58">
        <f t="shared" si="4"/>
        <v>10741.874</v>
      </c>
      <c r="G58">
        <f t="shared" si="5"/>
        <v>15223.958750000002</v>
      </c>
      <c r="H58">
        <f t="shared" si="6"/>
        <v>28764.771750000004</v>
      </c>
    </row>
    <row r="59" spans="1:8" x14ac:dyDescent="0.2">
      <c r="A59" t="s">
        <v>197</v>
      </c>
      <c r="B59" s="79">
        <v>1527.4875000000002</v>
      </c>
      <c r="C59" s="79">
        <v>2640.3712499999997</v>
      </c>
      <c r="D59" s="79">
        <v>6088.1287499999999</v>
      </c>
      <c r="E59" t="s">
        <v>197</v>
      </c>
      <c r="F59">
        <f t="shared" si="4"/>
        <v>1985.7337500000003</v>
      </c>
      <c r="G59">
        <f t="shared" si="5"/>
        <v>3432.4826249999996</v>
      </c>
      <c r="H59">
        <f t="shared" si="6"/>
        <v>7914.5673749999996</v>
      </c>
    </row>
    <row r="60" spans="1:8" x14ac:dyDescent="0.2">
      <c r="A60" t="s">
        <v>198</v>
      </c>
      <c r="B60" s="79">
        <v>771.01750000000004</v>
      </c>
      <c r="C60" s="79">
        <v>1323.8225</v>
      </c>
      <c r="D60" s="79">
        <v>3018.6062500000003</v>
      </c>
      <c r="E60" t="s">
        <v>198</v>
      </c>
      <c r="F60">
        <f t="shared" si="4"/>
        <v>1002.32275</v>
      </c>
      <c r="G60">
        <f t="shared" si="5"/>
        <v>1720.9692500000001</v>
      </c>
      <c r="H60">
        <f t="shared" si="6"/>
        <v>3924.1881250000006</v>
      </c>
    </row>
    <row r="61" spans="1:8" x14ac:dyDescent="0.2">
      <c r="A61" t="s">
        <v>199</v>
      </c>
      <c r="B61" s="79">
        <v>2298.5050000000001</v>
      </c>
      <c r="C61" s="79">
        <v>3956.9199999999996</v>
      </c>
      <c r="D61" s="79">
        <v>9055.8187499999985</v>
      </c>
      <c r="E61" t="s">
        <v>199</v>
      </c>
      <c r="F61">
        <f t="shared" si="4"/>
        <v>2988.0565000000001</v>
      </c>
      <c r="G61">
        <f t="shared" si="5"/>
        <v>5143.9960000000001</v>
      </c>
      <c r="H61">
        <f t="shared" si="6"/>
        <v>11772.564374999998</v>
      </c>
    </row>
    <row r="62" spans="1:8" x14ac:dyDescent="0.2">
      <c r="B62" s="79">
        <v>771.01750000000004</v>
      </c>
      <c r="C62" s="79">
        <v>1323.8225</v>
      </c>
      <c r="D62" s="79">
        <v>3018.6062500000003</v>
      </c>
      <c r="F62">
        <f t="shared" si="4"/>
        <v>1002.32275</v>
      </c>
      <c r="G62">
        <f t="shared" si="5"/>
        <v>1720.9692500000001</v>
      </c>
      <c r="H62">
        <f t="shared" si="6"/>
        <v>3924.1881250000006</v>
      </c>
    </row>
    <row r="63" spans="1:8" x14ac:dyDescent="0.2">
      <c r="A63" t="s">
        <v>200</v>
      </c>
      <c r="B63" s="79">
        <v>901.94500000000005</v>
      </c>
      <c r="C63" s="79">
        <v>1483.845</v>
      </c>
      <c r="D63" s="79">
        <v>3433.21</v>
      </c>
      <c r="E63" t="s">
        <v>200</v>
      </c>
      <c r="F63">
        <f t="shared" si="4"/>
        <v>1172.5285000000001</v>
      </c>
      <c r="G63">
        <f t="shared" si="5"/>
        <v>1928.9985000000001</v>
      </c>
      <c r="H63">
        <f t="shared" si="6"/>
        <v>4463.1729999999998</v>
      </c>
    </row>
    <row r="64" spans="1:8" x14ac:dyDescent="0.2">
      <c r="A64" t="s">
        <v>201</v>
      </c>
      <c r="B64" s="79">
        <v>960.13499999999988</v>
      </c>
      <c r="C64" s="79">
        <v>1520.2137499999999</v>
      </c>
      <c r="D64" s="79">
        <v>3491.3999999999996</v>
      </c>
      <c r="E64" t="s">
        <v>201</v>
      </c>
      <c r="F64">
        <f t="shared" si="4"/>
        <v>1248.1754999999998</v>
      </c>
      <c r="G64">
        <f t="shared" si="5"/>
        <v>1976.277875</v>
      </c>
      <c r="H64">
        <f t="shared" si="6"/>
        <v>4538.82</v>
      </c>
    </row>
    <row r="65" spans="1:8" x14ac:dyDescent="0.2">
      <c r="A65" t="s">
        <v>202</v>
      </c>
      <c r="B65" s="79">
        <v>1847.5325</v>
      </c>
      <c r="C65" s="79">
        <v>2829.48875</v>
      </c>
      <c r="D65" s="79">
        <v>5986.2962500000003</v>
      </c>
      <c r="E65" t="s">
        <v>202</v>
      </c>
      <c r="F65">
        <f t="shared" si="4"/>
        <v>2401.79225</v>
      </c>
      <c r="G65">
        <f t="shared" si="5"/>
        <v>3678.3353750000001</v>
      </c>
      <c r="H65">
        <f t="shared" si="6"/>
        <v>7782.1851250000009</v>
      </c>
    </row>
    <row r="66" spans="1:8" x14ac:dyDescent="0.2">
      <c r="A66" t="s">
        <v>203</v>
      </c>
      <c r="B66" s="79">
        <v>2727.65625</v>
      </c>
      <c r="C66" s="79">
        <v>3476.8525</v>
      </c>
      <c r="D66" s="79">
        <v>7499.236249999999</v>
      </c>
      <c r="E66" t="s">
        <v>203</v>
      </c>
      <c r="F66">
        <f t="shared" si="4"/>
        <v>3545.953125</v>
      </c>
      <c r="G66">
        <f t="shared" si="5"/>
        <v>4519.9082500000004</v>
      </c>
      <c r="H66">
        <f t="shared" si="6"/>
        <v>9749.0071249999983</v>
      </c>
    </row>
    <row r="67" spans="1:8" x14ac:dyDescent="0.2">
      <c r="A67" t="s">
        <v>204</v>
      </c>
      <c r="B67" s="79">
        <v>2727.65625</v>
      </c>
      <c r="C67" s="79">
        <v>3476.8525</v>
      </c>
      <c r="D67" s="79">
        <v>7499.236249999999</v>
      </c>
      <c r="E67" t="s">
        <v>204</v>
      </c>
      <c r="F67">
        <f t="shared" si="4"/>
        <v>3545.953125</v>
      </c>
      <c r="G67">
        <f t="shared" si="5"/>
        <v>4519.9082500000004</v>
      </c>
      <c r="H67">
        <f t="shared" si="6"/>
        <v>9749.0071249999983</v>
      </c>
    </row>
    <row r="68" spans="1:8" x14ac:dyDescent="0.2">
      <c r="A68" t="s">
        <v>205</v>
      </c>
      <c r="B68" s="79">
        <v>2160.30375</v>
      </c>
      <c r="C68" s="79">
        <v>3033.1537499999999</v>
      </c>
      <c r="D68" s="79">
        <v>6284.52</v>
      </c>
      <c r="E68" t="s">
        <v>205</v>
      </c>
      <c r="F68">
        <f t="shared" si="4"/>
        <v>2808.394875</v>
      </c>
      <c r="G68">
        <f t="shared" si="5"/>
        <v>3943.0998749999999</v>
      </c>
      <c r="H68">
        <f t="shared" si="6"/>
        <v>8169.8760000000011</v>
      </c>
    </row>
    <row r="69" spans="1:8" x14ac:dyDescent="0.2">
      <c r="A69" t="s">
        <v>206</v>
      </c>
      <c r="B69" s="79">
        <v>2305.7787499999995</v>
      </c>
      <c r="C69" s="79">
        <v>3942.372499999999</v>
      </c>
      <c r="D69" s="79">
        <v>9390.4112499999974</v>
      </c>
      <c r="E69" t="s">
        <v>206</v>
      </c>
      <c r="F69">
        <f t="shared" si="4"/>
        <v>2997.5123749999993</v>
      </c>
      <c r="G69">
        <f t="shared" si="5"/>
        <v>5125.084249999999</v>
      </c>
      <c r="H69">
        <f t="shared" si="6"/>
        <v>12207.534624999997</v>
      </c>
    </row>
    <row r="70" spans="1:8" x14ac:dyDescent="0.2">
      <c r="A70" t="s">
        <v>207</v>
      </c>
      <c r="B70" s="79">
        <v>1527.4875000000002</v>
      </c>
      <c r="C70" s="79">
        <v>2618.5500000000002</v>
      </c>
      <c r="D70" s="79">
        <v>6277.2462500000001</v>
      </c>
      <c r="E70" t="s">
        <v>207</v>
      </c>
      <c r="F70">
        <f t="shared" si="4"/>
        <v>1985.7337500000003</v>
      </c>
      <c r="G70">
        <f t="shared" si="5"/>
        <v>3404.1150000000002</v>
      </c>
      <c r="H70">
        <f t="shared" si="6"/>
        <v>8160.4201250000006</v>
      </c>
    </row>
    <row r="71" spans="1:8" x14ac:dyDescent="0.2">
      <c r="A71" t="s">
        <v>208</v>
      </c>
      <c r="B71" s="79">
        <v>792.83875</v>
      </c>
      <c r="C71" s="79">
        <v>1331.0962500000001</v>
      </c>
      <c r="D71" s="79">
        <v>3142.26</v>
      </c>
      <c r="E71" t="s">
        <v>208</v>
      </c>
      <c r="F71">
        <f t="shared" si="4"/>
        <v>1030.6903750000001</v>
      </c>
      <c r="G71">
        <f t="shared" si="5"/>
        <v>1730.4251250000002</v>
      </c>
      <c r="H71">
        <f t="shared" si="6"/>
        <v>4084.9380000000006</v>
      </c>
    </row>
    <row r="72" spans="1:8" x14ac:dyDescent="0.2">
      <c r="A72" t="s">
        <v>209</v>
      </c>
      <c r="B72" s="79">
        <v>3549.5899999999997</v>
      </c>
      <c r="C72" s="79">
        <v>6189.9612499999994</v>
      </c>
      <c r="D72" s="79">
        <v>11027.004999999999</v>
      </c>
      <c r="E72" t="s">
        <v>209</v>
      </c>
      <c r="F72">
        <f t="shared" si="4"/>
        <v>4614.4669999999996</v>
      </c>
      <c r="G72">
        <f t="shared" si="5"/>
        <v>8046.9496249999993</v>
      </c>
      <c r="H72">
        <f t="shared" si="6"/>
        <v>14335.1065</v>
      </c>
    </row>
    <row r="73" spans="1:8" x14ac:dyDescent="0.2">
      <c r="A73" t="s">
        <v>210</v>
      </c>
      <c r="B73" s="79">
        <v>2451.2537499999994</v>
      </c>
      <c r="C73" s="79">
        <v>4189.6799999999994</v>
      </c>
      <c r="D73" s="79">
        <v>7346.4874999999993</v>
      </c>
      <c r="E73" t="s">
        <v>210</v>
      </c>
      <c r="F73">
        <f t="shared" si="4"/>
        <v>3186.6298749999992</v>
      </c>
      <c r="G73">
        <f t="shared" si="5"/>
        <v>5446.5839999999998</v>
      </c>
      <c r="H73">
        <f t="shared" si="6"/>
        <v>9550.4337500000001</v>
      </c>
    </row>
    <row r="74" spans="1:8" x14ac:dyDescent="0.2">
      <c r="A74" t="s">
        <v>211</v>
      </c>
      <c r="B74" s="79">
        <v>1592.9512499999998</v>
      </c>
      <c r="C74" s="79">
        <v>0</v>
      </c>
      <c r="D74" s="79">
        <v>0</v>
      </c>
      <c r="E74" t="s">
        <v>211</v>
      </c>
      <c r="F74">
        <f t="shared" si="4"/>
        <v>2070.8366249999999</v>
      </c>
      <c r="G74">
        <f t="shared" si="5"/>
        <v>0</v>
      </c>
      <c r="H74">
        <f t="shared" si="6"/>
        <v>0</v>
      </c>
    </row>
    <row r="75" spans="1:8" x14ac:dyDescent="0.2">
      <c r="A75" t="s">
        <v>212</v>
      </c>
      <c r="B75" s="79">
        <v>1251.0849999999998</v>
      </c>
      <c r="C75" s="79">
        <v>0</v>
      </c>
      <c r="D75" s="79">
        <v>0</v>
      </c>
      <c r="E75" t="s">
        <v>212</v>
      </c>
      <c r="F75">
        <f t="shared" si="4"/>
        <v>1626.4104999999997</v>
      </c>
      <c r="G75">
        <f t="shared" si="5"/>
        <v>0</v>
      </c>
      <c r="H75">
        <f t="shared" si="6"/>
        <v>0</v>
      </c>
    </row>
    <row r="76" spans="1:8" x14ac:dyDescent="0.2">
      <c r="A76" t="s">
        <v>213</v>
      </c>
      <c r="B76" s="79">
        <v>640.08999999999992</v>
      </c>
      <c r="C76" s="79">
        <v>0</v>
      </c>
      <c r="D76" s="79">
        <v>0</v>
      </c>
      <c r="E76" t="s">
        <v>213</v>
      </c>
      <c r="F76">
        <f t="shared" si="4"/>
        <v>832.11699999999996</v>
      </c>
      <c r="G76">
        <f t="shared" si="5"/>
        <v>0</v>
      </c>
      <c r="H76">
        <f t="shared" si="6"/>
        <v>0</v>
      </c>
    </row>
    <row r="77" spans="1:8" x14ac:dyDescent="0.2">
      <c r="A77" t="s">
        <v>214</v>
      </c>
      <c r="B77" s="79">
        <v>2058.4712499999996</v>
      </c>
      <c r="C77" s="79">
        <v>0</v>
      </c>
      <c r="D77" s="79">
        <v>0</v>
      </c>
      <c r="E77" t="s">
        <v>214</v>
      </c>
      <c r="F77">
        <f t="shared" si="4"/>
        <v>2676.0126249999994</v>
      </c>
      <c r="G77">
        <f t="shared" si="5"/>
        <v>0</v>
      </c>
      <c r="H77">
        <f t="shared" si="6"/>
        <v>0</v>
      </c>
    </row>
    <row r="78" spans="1:8" x14ac:dyDescent="0.2">
      <c r="A78" t="s">
        <v>215</v>
      </c>
      <c r="B78" s="79">
        <v>1432.92875</v>
      </c>
      <c r="C78" s="79">
        <v>0</v>
      </c>
      <c r="D78" s="79">
        <v>0</v>
      </c>
      <c r="E78" t="s">
        <v>215</v>
      </c>
      <c r="F78">
        <f t="shared" si="4"/>
        <v>1862.8073750000001</v>
      </c>
      <c r="G78">
        <f t="shared" si="5"/>
        <v>0</v>
      </c>
      <c r="H78">
        <f t="shared" si="6"/>
        <v>0</v>
      </c>
    </row>
    <row r="79" spans="1:8" x14ac:dyDescent="0.2">
      <c r="A79" t="s">
        <v>216</v>
      </c>
      <c r="B79" s="79">
        <v>2473.0749999999998</v>
      </c>
      <c r="C79" s="79">
        <v>0</v>
      </c>
      <c r="D79" s="79">
        <v>0</v>
      </c>
      <c r="E79" t="s">
        <v>216</v>
      </c>
      <c r="F79">
        <f t="shared" si="4"/>
        <v>3214.9974999999999</v>
      </c>
      <c r="G79">
        <f t="shared" si="5"/>
        <v>0</v>
      </c>
      <c r="H79">
        <f t="shared" si="6"/>
        <v>0</v>
      </c>
    </row>
    <row r="80" spans="1:8" x14ac:dyDescent="0.2">
      <c r="A80" t="s">
        <v>217</v>
      </c>
      <c r="B80" s="79">
        <v>2814.9412500000003</v>
      </c>
      <c r="C80" s="79">
        <v>0</v>
      </c>
      <c r="D80" s="79">
        <v>0</v>
      </c>
      <c r="E80" t="s">
        <v>217</v>
      </c>
      <c r="F80">
        <f t="shared" si="4"/>
        <v>3659.4236250000004</v>
      </c>
      <c r="G80">
        <f t="shared" si="5"/>
        <v>0</v>
      </c>
      <c r="H80">
        <f t="shared" si="6"/>
        <v>0</v>
      </c>
    </row>
    <row r="81" spans="1:8" x14ac:dyDescent="0.2">
      <c r="A81" t="s">
        <v>218</v>
      </c>
      <c r="B81" s="79">
        <v>2138.4824999999996</v>
      </c>
      <c r="C81" s="79">
        <v>0</v>
      </c>
      <c r="D81" s="79">
        <v>0</v>
      </c>
      <c r="E81" t="s">
        <v>218</v>
      </c>
      <c r="F81">
        <f t="shared" si="4"/>
        <v>2780.0272499999996</v>
      </c>
      <c r="G81">
        <f t="shared" si="5"/>
        <v>0</v>
      </c>
      <c r="H81">
        <f t="shared" si="6"/>
        <v>0</v>
      </c>
    </row>
    <row r="82" spans="1:8" x14ac:dyDescent="0.2">
      <c r="A82" t="s">
        <v>219</v>
      </c>
      <c r="B82" s="79">
        <v>3236.8187500000004</v>
      </c>
      <c r="C82" s="79">
        <v>0</v>
      </c>
      <c r="D82" s="79">
        <v>0</v>
      </c>
      <c r="E82" t="s">
        <v>219</v>
      </c>
      <c r="F82">
        <f t="shared" si="4"/>
        <v>4207.864375000001</v>
      </c>
      <c r="G82">
        <f t="shared" si="5"/>
        <v>0</v>
      </c>
      <c r="H82">
        <f t="shared" si="6"/>
        <v>0</v>
      </c>
    </row>
    <row r="83" spans="1:8" x14ac:dyDescent="0.2">
      <c r="A83" t="s">
        <v>220</v>
      </c>
      <c r="B83" s="79">
        <v>3753.2549999999997</v>
      </c>
      <c r="C83" s="79">
        <v>0</v>
      </c>
      <c r="D83" s="79">
        <v>0</v>
      </c>
      <c r="E83" t="s">
        <v>220</v>
      </c>
      <c r="F83">
        <f t="shared" si="4"/>
        <v>4879.2314999999999</v>
      </c>
      <c r="G83">
        <f t="shared" si="5"/>
        <v>0</v>
      </c>
      <c r="H83">
        <f t="shared" si="6"/>
        <v>0</v>
      </c>
    </row>
    <row r="84" spans="1:8" x14ac:dyDescent="0.2">
      <c r="A84" t="s">
        <v>221</v>
      </c>
      <c r="B84" s="79">
        <v>2560.3599999999997</v>
      </c>
      <c r="C84" s="79">
        <v>0</v>
      </c>
      <c r="D84" s="79">
        <v>0</v>
      </c>
      <c r="E84" t="s">
        <v>221</v>
      </c>
      <c r="F84">
        <f t="shared" si="4"/>
        <v>3328.4679999999998</v>
      </c>
      <c r="G84">
        <f t="shared" si="5"/>
        <v>0</v>
      </c>
      <c r="H84">
        <f t="shared" si="6"/>
        <v>0</v>
      </c>
    </row>
    <row r="85" spans="1:8" x14ac:dyDescent="0.2">
      <c r="A85" t="s">
        <v>222</v>
      </c>
      <c r="B85" s="79">
        <v>7040.99</v>
      </c>
      <c r="C85" s="79">
        <v>0</v>
      </c>
      <c r="D85" s="79">
        <v>0</v>
      </c>
      <c r="E85" t="s">
        <v>222</v>
      </c>
      <c r="F85">
        <f t="shared" si="4"/>
        <v>9153.2870000000003</v>
      </c>
      <c r="G85">
        <f t="shared" si="5"/>
        <v>0</v>
      </c>
      <c r="H85">
        <f t="shared" si="6"/>
        <v>0</v>
      </c>
    </row>
    <row r="86" spans="1:8" x14ac:dyDescent="0.2">
      <c r="A86" t="s">
        <v>223</v>
      </c>
      <c r="B86" s="79">
        <v>5855.3687500000005</v>
      </c>
      <c r="C86" s="79">
        <v>0</v>
      </c>
      <c r="D86" s="79">
        <v>0</v>
      </c>
      <c r="E86" t="s">
        <v>223</v>
      </c>
      <c r="F86">
        <f t="shared" si="4"/>
        <v>7611.9793750000008</v>
      </c>
      <c r="G86">
        <f t="shared" si="5"/>
        <v>0</v>
      </c>
      <c r="H86">
        <f t="shared" si="6"/>
        <v>0</v>
      </c>
    </row>
    <row r="87" spans="1:8" x14ac:dyDescent="0.2">
      <c r="A87" t="s">
        <v>224</v>
      </c>
      <c r="B87" s="79">
        <v>7499.236249999999</v>
      </c>
      <c r="C87" s="79">
        <v>0</v>
      </c>
      <c r="D87" s="79">
        <v>0</v>
      </c>
      <c r="E87" t="s">
        <v>224</v>
      </c>
      <c r="F87">
        <f t="shared" si="4"/>
        <v>9749.0071249999983</v>
      </c>
      <c r="G87">
        <f t="shared" si="5"/>
        <v>0</v>
      </c>
      <c r="H87">
        <f t="shared" si="6"/>
        <v>0</v>
      </c>
    </row>
    <row r="88" spans="1:8" x14ac:dyDescent="0.2">
      <c r="A88" t="s">
        <v>225</v>
      </c>
      <c r="B88" s="79">
        <v>5462.5862499999994</v>
      </c>
      <c r="C88" s="79">
        <v>0</v>
      </c>
      <c r="D88" s="79">
        <v>0</v>
      </c>
      <c r="E88" t="s">
        <v>225</v>
      </c>
      <c r="F88">
        <f t="shared" si="4"/>
        <v>7101.3621249999997</v>
      </c>
      <c r="G88">
        <f t="shared" si="5"/>
        <v>0</v>
      </c>
      <c r="H88">
        <f t="shared" si="6"/>
        <v>0</v>
      </c>
    </row>
    <row r="89" spans="1:8" x14ac:dyDescent="0.2">
      <c r="A89" t="s">
        <v>226</v>
      </c>
      <c r="B89" s="79">
        <v>4233.3224999999993</v>
      </c>
      <c r="C89" s="79">
        <v>0</v>
      </c>
      <c r="D89" s="79">
        <v>0</v>
      </c>
      <c r="E89" t="s">
        <v>226</v>
      </c>
      <c r="F89">
        <f t="shared" si="4"/>
        <v>5503.3192499999996</v>
      </c>
      <c r="G89">
        <f t="shared" si="5"/>
        <v>0</v>
      </c>
      <c r="H89">
        <f t="shared" si="6"/>
        <v>0</v>
      </c>
    </row>
    <row r="90" spans="1:8" x14ac:dyDescent="0.2">
      <c r="A90" t="s">
        <v>227</v>
      </c>
      <c r="B90" s="79">
        <v>7055.5374999999995</v>
      </c>
      <c r="C90" s="79">
        <v>0</v>
      </c>
      <c r="D90" s="79">
        <v>0</v>
      </c>
      <c r="E90" t="s">
        <v>227</v>
      </c>
      <c r="F90">
        <f t="shared" si="4"/>
        <v>9172.1987499999996</v>
      </c>
      <c r="G90">
        <f t="shared" si="5"/>
        <v>0</v>
      </c>
      <c r="H90">
        <f t="shared" si="6"/>
        <v>0</v>
      </c>
    </row>
    <row r="91" spans="1:8" x14ac:dyDescent="0.2">
      <c r="A91" t="s">
        <v>228</v>
      </c>
      <c r="B91" s="79">
        <v>3964.1937499999995</v>
      </c>
      <c r="C91" s="79">
        <v>6029.9387500000003</v>
      </c>
      <c r="D91" s="79">
        <v>13085.47625</v>
      </c>
      <c r="E91" t="s">
        <v>228</v>
      </c>
      <c r="F91">
        <f t="shared" si="4"/>
        <v>5153.4518749999997</v>
      </c>
      <c r="G91">
        <f t="shared" si="5"/>
        <v>7838.9203750000006</v>
      </c>
      <c r="H91">
        <f t="shared" si="6"/>
        <v>17011.119125000001</v>
      </c>
    </row>
    <row r="92" spans="1:8" x14ac:dyDescent="0.2">
      <c r="A92" t="s">
        <v>229</v>
      </c>
      <c r="B92" s="79">
        <v>5360.7537499999999</v>
      </c>
      <c r="C92" s="79">
        <v>8313.8962499999998</v>
      </c>
      <c r="D92" s="79">
        <v>17078.764999999996</v>
      </c>
      <c r="E92" t="s">
        <v>229</v>
      </c>
      <c r="F92">
        <f t="shared" si="4"/>
        <v>6968.979875</v>
      </c>
      <c r="G92">
        <f t="shared" si="5"/>
        <v>10808.065125000001</v>
      </c>
      <c r="H92">
        <f t="shared" si="6"/>
        <v>22202.394499999995</v>
      </c>
    </row>
    <row r="93" spans="1:8" x14ac:dyDescent="0.2">
      <c r="A93" s="67" t="s">
        <v>230</v>
      </c>
      <c r="B93" s="79">
        <v>0</v>
      </c>
      <c r="C93" s="79">
        <v>0</v>
      </c>
      <c r="D93" s="79">
        <v>0</v>
      </c>
      <c r="E93" s="67" t="s">
        <v>230</v>
      </c>
      <c r="F93">
        <f t="shared" ref="F93:F109" si="7">B93*110%</f>
        <v>0</v>
      </c>
      <c r="G93">
        <f t="shared" ref="G93:G109" si="8">C93*110%</f>
        <v>0</v>
      </c>
      <c r="H93">
        <f t="shared" ref="H93:H109" si="9">D93*110%</f>
        <v>0</v>
      </c>
    </row>
    <row r="94" spans="1:8" x14ac:dyDescent="0.2">
      <c r="A94" t="s">
        <v>231</v>
      </c>
      <c r="B94" s="79">
        <v>442.75</v>
      </c>
      <c r="C94" s="79">
        <v>790.62500000000011</v>
      </c>
      <c r="D94" s="79">
        <v>1973.3999999999999</v>
      </c>
      <c r="E94" t="s">
        <v>231</v>
      </c>
      <c r="F94">
        <f t="shared" si="7"/>
        <v>487.02500000000003</v>
      </c>
      <c r="G94">
        <f t="shared" si="8"/>
        <v>869.68750000000023</v>
      </c>
      <c r="H94">
        <f t="shared" si="9"/>
        <v>2170.7400000000002</v>
      </c>
    </row>
    <row r="95" spans="1:8" x14ac:dyDescent="0.2">
      <c r="A95" s="66" t="s">
        <v>232</v>
      </c>
      <c r="B95" s="79">
        <v>834.9</v>
      </c>
      <c r="C95" s="79">
        <v>1593.9</v>
      </c>
      <c r="D95" s="79">
        <v>2757.7000000000003</v>
      </c>
      <c r="E95" s="66" t="s">
        <v>232</v>
      </c>
      <c r="F95">
        <f t="shared" si="7"/>
        <v>918.3900000000001</v>
      </c>
      <c r="G95">
        <f t="shared" si="8"/>
        <v>1753.2900000000002</v>
      </c>
      <c r="H95">
        <f t="shared" si="9"/>
        <v>3033.4700000000007</v>
      </c>
    </row>
    <row r="96" spans="1:8" x14ac:dyDescent="0.2">
      <c r="A96" t="s">
        <v>233</v>
      </c>
      <c r="B96" s="79">
        <v>1252.3500000000001</v>
      </c>
      <c r="C96" s="79">
        <v>2352.9</v>
      </c>
      <c r="D96" s="79">
        <v>4705.8</v>
      </c>
      <c r="E96" t="s">
        <v>233</v>
      </c>
      <c r="F96">
        <f t="shared" si="7"/>
        <v>1377.5850000000003</v>
      </c>
      <c r="G96">
        <f t="shared" si="8"/>
        <v>2588.1900000000005</v>
      </c>
      <c r="H96">
        <f t="shared" si="9"/>
        <v>5176.380000000001</v>
      </c>
    </row>
    <row r="97" spans="1:29" x14ac:dyDescent="0.2">
      <c r="A97" s="66" t="s">
        <v>123</v>
      </c>
      <c r="B97" s="79">
        <v>834.9</v>
      </c>
      <c r="C97" s="79">
        <v>1366.2</v>
      </c>
      <c r="D97" s="79">
        <v>2757.7000000000003</v>
      </c>
      <c r="E97" s="66" t="s">
        <v>123</v>
      </c>
      <c r="F97">
        <f t="shared" si="7"/>
        <v>918.3900000000001</v>
      </c>
      <c r="G97">
        <f t="shared" si="8"/>
        <v>1502.8200000000002</v>
      </c>
      <c r="H97">
        <f t="shared" si="9"/>
        <v>3033.4700000000007</v>
      </c>
    </row>
    <row r="98" spans="1:29" x14ac:dyDescent="0.2">
      <c r="A98" t="s">
        <v>114</v>
      </c>
      <c r="B98" s="79">
        <v>5996.1</v>
      </c>
      <c r="C98" s="79">
        <v>8956.1999999999989</v>
      </c>
      <c r="D98" s="79">
        <v>17305.2</v>
      </c>
      <c r="E98" t="s">
        <v>114</v>
      </c>
      <c r="F98">
        <f t="shared" si="7"/>
        <v>6595.7100000000009</v>
      </c>
      <c r="G98">
        <f t="shared" si="8"/>
        <v>9851.82</v>
      </c>
      <c r="H98">
        <f t="shared" si="9"/>
        <v>19035.72</v>
      </c>
      <c r="AC98" s="67"/>
    </row>
    <row r="99" spans="1:29" x14ac:dyDescent="0.2">
      <c r="A99" s="66" t="s">
        <v>234</v>
      </c>
      <c r="B99" s="79">
        <v>1062.5999999999999</v>
      </c>
      <c r="C99" s="79">
        <v>1973.3999999999999</v>
      </c>
      <c r="D99" s="79">
        <v>3946.7999999999997</v>
      </c>
      <c r="E99" s="66" t="s">
        <v>234</v>
      </c>
      <c r="F99">
        <f t="shared" si="7"/>
        <v>1168.8599999999999</v>
      </c>
      <c r="G99">
        <f t="shared" si="8"/>
        <v>2170.7400000000002</v>
      </c>
      <c r="H99">
        <f t="shared" si="9"/>
        <v>4341.4800000000005</v>
      </c>
    </row>
    <row r="100" spans="1:29" x14ac:dyDescent="0.2">
      <c r="A100" t="s">
        <v>235</v>
      </c>
      <c r="B100" s="79">
        <v>2049.2999999999997</v>
      </c>
      <c r="C100" s="79">
        <v>3946.7999999999997</v>
      </c>
      <c r="D100" s="79">
        <v>7438.2</v>
      </c>
      <c r="E100" t="s">
        <v>235</v>
      </c>
      <c r="F100">
        <f t="shared" si="7"/>
        <v>2254.23</v>
      </c>
      <c r="G100">
        <f t="shared" si="8"/>
        <v>4341.4800000000005</v>
      </c>
      <c r="H100">
        <f t="shared" si="9"/>
        <v>8182.02</v>
      </c>
      <c r="AC100" s="66"/>
    </row>
    <row r="101" spans="1:29" x14ac:dyDescent="0.2">
      <c r="A101" s="67" t="s">
        <v>236</v>
      </c>
      <c r="B101" s="79">
        <v>0</v>
      </c>
      <c r="C101" s="79">
        <v>0</v>
      </c>
      <c r="D101" s="79">
        <v>0</v>
      </c>
      <c r="E101" s="67" t="s">
        <v>236</v>
      </c>
      <c r="F101">
        <f t="shared" si="7"/>
        <v>0</v>
      </c>
      <c r="G101">
        <f t="shared" si="8"/>
        <v>0</v>
      </c>
      <c r="H101">
        <f t="shared" si="9"/>
        <v>0</v>
      </c>
    </row>
    <row r="102" spans="1:29" x14ac:dyDescent="0.2">
      <c r="A102" t="s">
        <v>237</v>
      </c>
      <c r="B102" s="79">
        <v>385.82500000000005</v>
      </c>
      <c r="C102" s="79">
        <v>531.29999999999995</v>
      </c>
      <c r="D102" s="79">
        <v>1302.95</v>
      </c>
      <c r="E102" t="s">
        <v>237</v>
      </c>
      <c r="F102">
        <f t="shared" si="7"/>
        <v>424.40750000000008</v>
      </c>
      <c r="G102">
        <f t="shared" si="8"/>
        <v>584.42999999999995</v>
      </c>
      <c r="H102">
        <f t="shared" si="9"/>
        <v>1433.2450000000001</v>
      </c>
      <c r="AC102" s="66"/>
    </row>
    <row r="103" spans="1:29" x14ac:dyDescent="0.2">
      <c r="A103" t="s">
        <v>238</v>
      </c>
      <c r="B103" s="79">
        <v>777.97500000000002</v>
      </c>
      <c r="C103" s="79">
        <v>1302.95</v>
      </c>
      <c r="D103" s="79">
        <v>3023.3500000000004</v>
      </c>
      <c r="E103" t="s">
        <v>238</v>
      </c>
      <c r="F103">
        <f t="shared" si="7"/>
        <v>855.77250000000015</v>
      </c>
      <c r="G103">
        <f t="shared" si="8"/>
        <v>1433.2450000000001</v>
      </c>
      <c r="H103">
        <f t="shared" si="9"/>
        <v>3325.6850000000009</v>
      </c>
    </row>
    <row r="104" spans="1:29" x14ac:dyDescent="0.2">
      <c r="A104" t="s">
        <v>239</v>
      </c>
      <c r="B104" s="79">
        <v>2839.9250000000002</v>
      </c>
      <c r="C104" s="79">
        <v>3845.6</v>
      </c>
      <c r="D104" s="79">
        <v>9512.8000000000011</v>
      </c>
      <c r="E104" t="s">
        <v>239</v>
      </c>
      <c r="F104">
        <f t="shared" si="7"/>
        <v>3123.9175000000005</v>
      </c>
      <c r="G104">
        <f t="shared" si="8"/>
        <v>4230.16</v>
      </c>
      <c r="H104">
        <f t="shared" si="9"/>
        <v>10464.080000000002</v>
      </c>
      <c r="AC104" s="66"/>
    </row>
    <row r="105" spans="1:29" x14ac:dyDescent="0.2">
      <c r="A105" t="s">
        <v>240</v>
      </c>
      <c r="B105" s="79">
        <v>1733.05</v>
      </c>
      <c r="C105" s="79">
        <v>2555.3000000000002</v>
      </c>
      <c r="D105" s="79">
        <v>6584.3249999999998</v>
      </c>
      <c r="E105" t="s">
        <v>240</v>
      </c>
      <c r="F105">
        <f t="shared" si="7"/>
        <v>1906.355</v>
      </c>
      <c r="G105">
        <f t="shared" si="8"/>
        <v>2810.8300000000004</v>
      </c>
      <c r="H105">
        <f t="shared" si="9"/>
        <v>7242.7575000000006</v>
      </c>
    </row>
    <row r="106" spans="1:29" x14ac:dyDescent="0.2">
      <c r="A106" t="s">
        <v>84</v>
      </c>
      <c r="B106" s="79">
        <v>1878.5249999999999</v>
      </c>
      <c r="C106" s="79">
        <v>2688.125</v>
      </c>
      <c r="D106" s="79">
        <v>7058.7</v>
      </c>
      <c r="E106" t="s">
        <v>84</v>
      </c>
      <c r="F106">
        <f t="shared" si="7"/>
        <v>2066.3775000000001</v>
      </c>
      <c r="G106">
        <f t="shared" si="8"/>
        <v>2956.9375000000005</v>
      </c>
      <c r="H106">
        <f t="shared" si="9"/>
        <v>7764.5700000000006</v>
      </c>
      <c r="AC106" s="67"/>
    </row>
    <row r="107" spans="1:29" x14ac:dyDescent="0.2">
      <c r="A107" t="s">
        <v>241</v>
      </c>
      <c r="B107" s="79">
        <v>3706.45</v>
      </c>
      <c r="C107" s="79">
        <v>5863.2750000000005</v>
      </c>
      <c r="D107" s="79">
        <v>13440.624999999998</v>
      </c>
      <c r="E107" t="s">
        <v>241</v>
      </c>
      <c r="F107">
        <f t="shared" si="7"/>
        <v>4077.0950000000003</v>
      </c>
      <c r="G107">
        <f t="shared" si="8"/>
        <v>6449.6025000000009</v>
      </c>
      <c r="H107">
        <f t="shared" si="9"/>
        <v>14784.6875</v>
      </c>
    </row>
    <row r="108" spans="1:29" x14ac:dyDescent="0.2">
      <c r="A108" t="s">
        <v>242</v>
      </c>
      <c r="B108" s="79">
        <v>4566.6500000000005</v>
      </c>
      <c r="C108" s="79">
        <v>7305.375</v>
      </c>
      <c r="D108" s="79">
        <v>15749.25</v>
      </c>
      <c r="E108" t="s">
        <v>242</v>
      </c>
      <c r="F108">
        <f t="shared" si="7"/>
        <v>5023.3150000000014</v>
      </c>
      <c r="G108">
        <f t="shared" si="8"/>
        <v>8035.9125000000004</v>
      </c>
      <c r="H108">
        <f t="shared" si="9"/>
        <v>17324.175000000003</v>
      </c>
    </row>
    <row r="109" spans="1:29" x14ac:dyDescent="0.2">
      <c r="A109" t="s">
        <v>243</v>
      </c>
      <c r="B109" s="79">
        <v>575.57500000000005</v>
      </c>
      <c r="C109" s="79">
        <v>1062.5999999999999</v>
      </c>
      <c r="D109" s="79">
        <v>2163.15</v>
      </c>
      <c r="E109" t="s">
        <v>243</v>
      </c>
      <c r="F109">
        <f t="shared" si="7"/>
        <v>633.13250000000005</v>
      </c>
      <c r="G109">
        <f t="shared" si="8"/>
        <v>1168.8599999999999</v>
      </c>
      <c r="H109">
        <f t="shared" si="9"/>
        <v>2379.4650000000001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B1:Q46"/>
  <sheetViews>
    <sheetView showGridLines="0" zoomScale="75" zoomScaleNormal="75" zoomScaleSheetLayoutView="85" workbookViewId="0">
      <selection activeCell="B37" sqref="B37"/>
    </sheetView>
  </sheetViews>
  <sheetFormatPr defaultColWidth="10.28515625" defaultRowHeight="15" x14ac:dyDescent="0.2"/>
  <cols>
    <col min="1" max="1" width="5" style="4" customWidth="1"/>
    <col min="2" max="2" width="22.28515625" style="4" customWidth="1"/>
    <col min="3" max="3" width="7.85546875" style="4" customWidth="1"/>
    <col min="4" max="4" width="7.28515625" style="4" customWidth="1"/>
    <col min="5" max="5" width="9.140625" style="3" customWidth="1"/>
    <col min="6" max="6" width="17.7109375" style="4" customWidth="1"/>
    <col min="7" max="7" width="9.140625" style="4" customWidth="1"/>
    <col min="8" max="8" width="16.7109375" style="4" customWidth="1"/>
    <col min="9" max="9" width="8.7109375" style="16" customWidth="1"/>
    <col min="10" max="10" width="16.7109375" style="16" customWidth="1"/>
    <col min="11" max="11" width="10.140625" style="4" customWidth="1"/>
    <col min="12" max="12" width="16.7109375" style="4" customWidth="1"/>
    <col min="13" max="13" width="8.7109375" style="4" customWidth="1"/>
    <col min="14" max="14" width="7.5703125" style="4" customWidth="1"/>
    <col min="15" max="15" width="14.85546875" style="4" customWidth="1"/>
    <col min="16" max="16" width="10.28515625" style="4" customWidth="1"/>
    <col min="17" max="16384" width="10.28515625" style="4"/>
  </cols>
  <sheetData>
    <row r="1" spans="2:17" s="1" customFormat="1" ht="39.950000000000003" customHeight="1" x14ac:dyDescent="0.2">
      <c r="B1" s="80"/>
      <c r="C1" s="80"/>
      <c r="D1" s="80"/>
      <c r="E1" s="80"/>
      <c r="F1" s="81"/>
      <c r="G1" s="81"/>
      <c r="H1" s="2"/>
      <c r="I1" s="2"/>
      <c r="J1" s="2"/>
      <c r="K1" s="2"/>
      <c r="L1" s="2"/>
      <c r="M1" s="2"/>
      <c r="N1" s="2"/>
      <c r="O1" s="2"/>
    </row>
    <row r="2" spans="2:17" s="3" customFormat="1" ht="15.75" x14ac:dyDescent="0.2">
      <c r="B2" s="30"/>
      <c r="C2" s="31" t="s">
        <v>0</v>
      </c>
      <c r="D2" s="31"/>
      <c r="E2" s="45"/>
      <c r="F2" s="46"/>
      <c r="G2" s="5"/>
      <c r="H2" s="28"/>
      <c r="I2" s="32" t="s">
        <v>1</v>
      </c>
      <c r="J2" s="47">
        <v>45509</v>
      </c>
      <c r="L2" s="29" t="s">
        <v>2</v>
      </c>
      <c r="M2" s="49">
        <v>47.7</v>
      </c>
      <c r="N2" s="6" t="s">
        <v>3</v>
      </c>
      <c r="O2" s="4"/>
    </row>
    <row r="3" spans="2:17" ht="16.5" customHeight="1" thickBot="1" x14ac:dyDescent="0.3">
      <c r="B3" s="30"/>
      <c r="C3" s="31" t="s">
        <v>4</v>
      </c>
      <c r="D3" s="31"/>
      <c r="E3" s="7">
        <v>1</v>
      </c>
      <c r="F3" s="6"/>
      <c r="G3" s="5"/>
      <c r="H3" s="28"/>
      <c r="I3" s="32" t="s">
        <v>5</v>
      </c>
      <c r="J3" s="27">
        <v>45513</v>
      </c>
      <c r="K3" s="7"/>
      <c r="L3" s="50" t="s">
        <v>6</v>
      </c>
      <c r="M3" s="48"/>
      <c r="N3" s="8" t="s">
        <v>7</v>
      </c>
    </row>
    <row r="4" spans="2:17" x14ac:dyDescent="0.2">
      <c r="B4" s="82" t="s">
        <v>8</v>
      </c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10"/>
      <c r="P4" s="10"/>
    </row>
    <row r="5" spans="2:17" ht="15.75" thickBot="1" x14ac:dyDescent="0.25">
      <c r="B5" s="84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10"/>
      <c r="P5" s="10"/>
    </row>
    <row r="6" spans="2:17" s="5" customFormat="1" ht="15.75" x14ac:dyDescent="0.25">
      <c r="B6" s="86" t="s">
        <v>9</v>
      </c>
      <c r="C6" s="87"/>
      <c r="D6" s="87"/>
      <c r="E6" s="88"/>
      <c r="F6" s="87" t="s">
        <v>10</v>
      </c>
      <c r="G6" s="89"/>
      <c r="H6" s="90" t="s">
        <v>11</v>
      </c>
      <c r="I6" s="88"/>
      <c r="J6" s="87" t="s">
        <v>12</v>
      </c>
      <c r="K6" s="87"/>
      <c r="L6" s="90" t="s">
        <v>13</v>
      </c>
      <c r="M6" s="87"/>
      <c r="N6" s="91"/>
      <c r="O6" s="10"/>
      <c r="P6" s="10"/>
      <c r="Q6" s="9"/>
    </row>
    <row r="7" spans="2:17" x14ac:dyDescent="0.2">
      <c r="B7" s="35" t="s">
        <v>14</v>
      </c>
      <c r="C7" s="94" t="s">
        <v>15</v>
      </c>
      <c r="D7" s="95"/>
      <c r="E7" s="96"/>
      <c r="F7" s="36" t="s">
        <v>16</v>
      </c>
      <c r="G7" s="36" t="s">
        <v>15</v>
      </c>
      <c r="H7" s="36" t="s">
        <v>16</v>
      </c>
      <c r="I7" s="36" t="s">
        <v>15</v>
      </c>
      <c r="J7" s="36" t="s">
        <v>16</v>
      </c>
      <c r="K7" s="36" t="s">
        <v>15</v>
      </c>
      <c r="L7" s="36" t="s">
        <v>16</v>
      </c>
      <c r="M7" s="94" t="s">
        <v>15</v>
      </c>
      <c r="N7" s="97"/>
      <c r="O7" s="10"/>
      <c r="P7" s="10"/>
    </row>
    <row r="8" spans="2:17" x14ac:dyDescent="0.2">
      <c r="B8" s="37"/>
      <c r="C8" s="38" t="s">
        <v>17</v>
      </c>
      <c r="D8" s="38" t="s">
        <v>18</v>
      </c>
      <c r="E8" s="38" t="s">
        <v>19</v>
      </c>
      <c r="F8" s="39"/>
      <c r="G8" s="39"/>
      <c r="H8" s="39"/>
      <c r="I8" s="39"/>
      <c r="J8" s="39"/>
      <c r="K8" s="39"/>
      <c r="L8" s="39"/>
      <c r="M8" s="39"/>
      <c r="N8" s="40"/>
      <c r="O8" s="10"/>
      <c r="P8" s="10"/>
    </row>
    <row r="9" spans="2:17" x14ac:dyDescent="0.2">
      <c r="B9" s="41"/>
      <c r="C9" s="42" t="s">
        <v>20</v>
      </c>
      <c r="D9" s="42" t="s">
        <v>20</v>
      </c>
      <c r="E9" s="42" t="s">
        <v>20</v>
      </c>
      <c r="F9" s="43"/>
      <c r="G9" s="43" t="s">
        <v>21</v>
      </c>
      <c r="H9" s="43"/>
      <c r="I9" s="43" t="s">
        <v>21</v>
      </c>
      <c r="J9" s="43"/>
      <c r="K9" s="43" t="s">
        <v>21</v>
      </c>
      <c r="L9" s="43"/>
      <c r="M9" s="43" t="s">
        <v>21</v>
      </c>
      <c r="N9" s="44" t="s">
        <v>20</v>
      </c>
      <c r="O9" s="10"/>
      <c r="P9" s="10"/>
    </row>
    <row r="10" spans="2:17" s="11" customFormat="1" ht="12.75" x14ac:dyDescent="0.2">
      <c r="B10" s="12"/>
      <c r="D10" s="13" t="str">
        <f>IF(C10="","",C10*0.7)</f>
        <v/>
      </c>
      <c r="E10" s="13"/>
      <c r="F10" s="58"/>
      <c r="G10" s="13" t="str">
        <f>IF(F10=""," ",IF(J$2&gt;=DATE(2024,11,1),VLOOKUP(F10,Sites!$A:$B,3,FALSE),VLOOKUP(F10,Sites!$A:$A,2,FALSE)))</f>
        <v xml:space="preserve"> </v>
      </c>
      <c r="H10" s="58"/>
      <c r="I10" s="13" t="str">
        <f>IF(H10="", "", IF(E$3&lt;=7, VLOOKUP(H10, Transfers!$A:$D, 2, FALSE),
                   IF(E$3&lt;=15, VLOOKUP(H10, Transfers!$A:$D, 3, FALSE),
                      VLOOKUP(H10, Transfers!$A:$D, 4, FALSE))))</f>
        <v/>
      </c>
      <c r="J10" s="58"/>
      <c r="K10" s="13"/>
      <c r="L10" s="58" t="s">
        <v>22</v>
      </c>
      <c r="M10" s="13">
        <f>(J3-J2)*1200</f>
        <v>4800</v>
      </c>
      <c r="N10" s="14"/>
      <c r="O10" s="15"/>
      <c r="P10" s="15"/>
    </row>
    <row r="11" spans="2:17" s="11" customFormat="1" ht="12.75" x14ac:dyDescent="0.2">
      <c r="B11" s="12"/>
      <c r="C11" s="13"/>
      <c r="D11" s="13" t="str">
        <f t="shared" ref="D11:D16" si="0">IF(C11="","",C11*0.7)</f>
        <v/>
      </c>
      <c r="E11" s="13"/>
      <c r="F11" s="58"/>
      <c r="G11" s="13" t="str">
        <f>IF(F11=""," ",IF(J$2&gt;=DATE(2024,11,1),VLOOKUP(F11,Sites!$A:$B,3,FALSE),VLOOKUP(F11,Sites!$A:$A,2,FALSE)))</f>
        <v xml:space="preserve"> </v>
      </c>
      <c r="H11" s="58"/>
      <c r="I11" s="13" t="str">
        <f>IF(H11="", "", IF(E$3&lt;=7, VLOOKUP(H11, Transfers!$A:$D, 2, FALSE),
                   IF(E$3&lt;=15, VLOOKUP(H11, Transfers!$A:$D, 3, FALSE),
                      VLOOKUP(H11, Transfers!$A:$D, 4, FALSE))))</f>
        <v/>
      </c>
      <c r="J11" s="58"/>
      <c r="K11" s="13"/>
      <c r="L11" s="55" t="s">
        <v>23</v>
      </c>
      <c r="M11" s="13">
        <f>(J3-J2)*200</f>
        <v>800</v>
      </c>
      <c r="N11" s="14"/>
      <c r="O11" s="15"/>
      <c r="P11" s="15"/>
    </row>
    <row r="12" spans="2:17" s="11" customFormat="1" ht="12.75" x14ac:dyDescent="0.2">
      <c r="D12" s="13" t="str">
        <f t="shared" si="0"/>
        <v/>
      </c>
      <c r="E12" s="13"/>
      <c r="F12" s="58"/>
      <c r="G12" s="13" t="str">
        <f>IF(F12=""," ",IF(J$2&gt;=DATE(2024,11,1),VLOOKUP(F12,Sites!$A:$B,3,FALSE),VLOOKUP(F12,Sites!$A:$A,2,FALSE)))</f>
        <v xml:space="preserve"> </v>
      </c>
      <c r="I12" s="13" t="str">
        <f>IF(H12="", "", IF(E$3&lt;=7, VLOOKUP(H12, Transfers!$A:$D, 2, FALSE),
                   IF(E$3&lt;=15, VLOOKUP(H12, Transfers!$A:$D, 3, FALSE),
                      VLOOKUP(H12, Transfers!$A:$D, 4, FALSE))))</f>
        <v/>
      </c>
      <c r="J12" s="58"/>
      <c r="K12" s="13"/>
      <c r="L12" s="55"/>
      <c r="M12" s="13"/>
      <c r="N12" s="14"/>
      <c r="O12" s="15"/>
      <c r="P12" s="15"/>
    </row>
    <row r="13" spans="2:17" s="11" customFormat="1" ht="12.75" x14ac:dyDescent="0.2">
      <c r="D13" s="13" t="str">
        <f t="shared" si="0"/>
        <v/>
      </c>
      <c r="E13" s="13"/>
      <c r="F13" s="58"/>
      <c r="G13" s="13" t="str">
        <f>IF(F13=""," ",IF(J$2&gt;=DATE(2024,11,1),VLOOKUP(F13,Sites!$A:$B,3,FALSE),VLOOKUP(F13,Sites!$A:$A,2,FALSE)))</f>
        <v xml:space="preserve"> </v>
      </c>
      <c r="I13" s="13" t="str">
        <f>IF(H13="", "", IF(E$3&lt;=7, VLOOKUP(H13, Transfers!$A:$D, 2, FALSE),
                   IF(E$3&lt;=15, VLOOKUP(H13, Transfers!$A:$D, 3, FALSE),
                      VLOOKUP(H13, Transfers!$A:$D, 4, FALSE))))</f>
        <v/>
      </c>
      <c r="J13" s="58"/>
      <c r="K13" s="13"/>
      <c r="L13" s="55"/>
      <c r="M13" s="13"/>
      <c r="N13" s="14"/>
      <c r="O13" s="15"/>
      <c r="P13" s="15"/>
    </row>
    <row r="14" spans="2:17" s="11" customFormat="1" ht="12.75" x14ac:dyDescent="0.2">
      <c r="B14" s="12"/>
      <c r="C14" s="13"/>
      <c r="D14" s="13" t="str">
        <f t="shared" si="0"/>
        <v/>
      </c>
      <c r="E14" s="13"/>
      <c r="G14" s="13" t="str">
        <f>IF(F14=""," ",IF(J$2&gt;=DATE(2024,11,1),VLOOKUP(F14,Sites!$A:$B,3,FALSE),VLOOKUP(F14,Sites!$A:$A,2,FALSE)))</f>
        <v xml:space="preserve"> </v>
      </c>
      <c r="H14" s="58"/>
      <c r="I14" s="13" t="str">
        <f>IF(H14="", "", IF(E$3&lt;=7, VLOOKUP(H14, Transfers!$A:$D, 2, FALSE),
                   IF(E$3&lt;=15, VLOOKUP(H14, Transfers!$A:$D, 3, FALSE),
                      VLOOKUP(H14, Transfers!$A:$D, 4, FALSE))))</f>
        <v/>
      </c>
      <c r="J14" s="58"/>
      <c r="K14" s="13"/>
      <c r="L14" s="55"/>
      <c r="M14" s="13"/>
      <c r="N14" s="14"/>
      <c r="O14" s="15"/>
      <c r="P14" s="15"/>
    </row>
    <row r="15" spans="2:17" s="11" customFormat="1" ht="12.75" x14ac:dyDescent="0.2">
      <c r="B15" s="12"/>
      <c r="C15" s="13"/>
      <c r="D15" s="13" t="str">
        <f t="shared" si="0"/>
        <v/>
      </c>
      <c r="E15" s="13"/>
      <c r="F15" s="69"/>
      <c r="G15" s="13" t="str">
        <f>IF(F15=""," ",IF(J$2&gt;=DATE(2024,11,1),VLOOKUP(F15,Sites!$A:$B,3,FALSE),VLOOKUP(F15,Sites!$A:$A,2,FALSE)))</f>
        <v xml:space="preserve"> </v>
      </c>
      <c r="H15" s="58"/>
      <c r="I15" s="13" t="str">
        <f>IF(H15="", "", IF(E$3&lt;=7, VLOOKUP(H15, Transfers!$A:$D, 2, FALSE),
                   IF(E$3&lt;=15, VLOOKUP(H15, Transfers!$A:$D, 3, FALSE),
                      VLOOKUP(H15, Transfers!$A:$D, 4, FALSE))))</f>
        <v/>
      </c>
      <c r="J15" s="58"/>
      <c r="K15" s="13"/>
      <c r="L15" s="58"/>
      <c r="N15" s="14"/>
      <c r="O15" s="15"/>
      <c r="P15" s="15"/>
    </row>
    <row r="16" spans="2:17" s="11" customFormat="1" ht="12.75" x14ac:dyDescent="0.2">
      <c r="B16" s="12"/>
      <c r="C16" s="13"/>
      <c r="D16" s="13" t="str">
        <f t="shared" si="0"/>
        <v/>
      </c>
      <c r="E16" s="13"/>
      <c r="F16" s="58"/>
      <c r="G16" s="13" t="str">
        <f>IF(F16=""," ",IF(J$2&gt;=DATE(2024,11,1),VLOOKUP(F16,Sites!$A:$B,3,FALSE),VLOOKUP(F16,Sites!$A:$A,2,FALSE)))</f>
        <v xml:space="preserve"> </v>
      </c>
      <c r="H16" s="58"/>
      <c r="I16" s="13" t="str">
        <f>IF(H16="", "", IF(E$3&lt;=7, VLOOKUP(H16, Transfers!$A:$D, 2, FALSE),
                   IF(E$3&lt;=15, VLOOKUP(H16, Transfers!$A:$D, 3, FALSE),
                      VLOOKUP(H16, Transfers!$A:$D, 4, FALSE))))</f>
        <v/>
      </c>
      <c r="J16" s="58"/>
      <c r="K16" s="13"/>
      <c r="L16" s="58"/>
      <c r="M16" s="13"/>
      <c r="N16" s="14"/>
      <c r="O16" s="15"/>
      <c r="P16" s="15"/>
    </row>
    <row r="17" spans="2:16" s="11" customFormat="1" ht="12.75" x14ac:dyDescent="0.2">
      <c r="B17" s="12"/>
      <c r="C17" s="13"/>
      <c r="D17" s="13"/>
      <c r="E17" s="13"/>
      <c r="F17" s="58"/>
      <c r="G17" s="13" t="str">
        <f>IF(F17=""," ",IF(J$2&gt;=DATE(2024,11,1),VLOOKUP(F17,Sites!$A:$B,3,FALSE),VLOOKUP(F17,Sites!$A:$A,2,FALSE)))</f>
        <v xml:space="preserve"> </v>
      </c>
      <c r="I17" s="13" t="str">
        <f>IF(H17="", "", IF(E$3&lt;=7, VLOOKUP(H17, Transfers!$A:$D, 2, FALSE),
                   IF(E$3&lt;=15, VLOOKUP(H17, Transfers!$A:$D, 3, FALSE),
                      VLOOKUP(H17, Transfers!$A:$D, 4, FALSE))))</f>
        <v/>
      </c>
      <c r="J17" s="58"/>
      <c r="K17" s="13"/>
      <c r="L17" s="58"/>
      <c r="M17" s="13"/>
      <c r="N17" s="14"/>
      <c r="O17" s="15"/>
      <c r="P17" s="15"/>
    </row>
    <row r="18" spans="2:16" s="11" customFormat="1" ht="12.75" x14ac:dyDescent="0.2">
      <c r="B18" s="12"/>
      <c r="C18" s="13"/>
      <c r="D18" s="13"/>
      <c r="E18" s="13"/>
      <c r="F18" s="58"/>
      <c r="G18" s="13" t="str">
        <f>IF(F18=""," ",IF(J$2&gt;=DATE(2024,11,1),VLOOKUP(F18,Sites!$A:$B,3,FALSE),VLOOKUP(F18,Sites!$A:$A,2,FALSE)))</f>
        <v xml:space="preserve"> </v>
      </c>
      <c r="H18" s="58"/>
      <c r="I18" s="13" t="str">
        <f>IF(H18="", "", IF(E$3&lt;=7, VLOOKUP(H18, Transfers!$A:$D, 2, FALSE),
                   IF(E$3&lt;=15, VLOOKUP(H18, Transfers!$A:$D, 3, FALSE),
                      VLOOKUP(H18, Transfers!$A:$D, 4, FALSE))))</f>
        <v/>
      </c>
      <c r="J18" s="58"/>
      <c r="K18" s="13"/>
      <c r="L18" s="58"/>
      <c r="M18" s="13"/>
      <c r="N18" s="14"/>
      <c r="O18" s="15"/>
      <c r="P18" s="15"/>
    </row>
    <row r="19" spans="2:16" s="11" customFormat="1" ht="12.75" x14ac:dyDescent="0.2">
      <c r="B19" s="12"/>
      <c r="C19" s="13"/>
      <c r="D19" s="13"/>
      <c r="E19" s="13"/>
      <c r="G19" s="13" t="str">
        <f>IF(F19=""," ",IF(J$2&gt;=DATE(2024,11,1),VLOOKUP(F19,Sites!$A:$B,3,FALSE),VLOOKUP(F19,Sites!$A:$A,2,FALSE)))</f>
        <v xml:space="preserve"> </v>
      </c>
      <c r="H19" s="58"/>
      <c r="I19" s="13" t="str">
        <f>IF(H19="", "", IF(E$3&lt;=7, VLOOKUP(H19, Transfers!$A:$D, 2, FALSE),
                   IF(E$3&lt;=15, VLOOKUP(H19, Transfers!$A:$D, 3, FALSE),
                      VLOOKUP(H19, Transfers!$A:$D, 4, FALSE))))</f>
        <v/>
      </c>
      <c r="J19" s="58"/>
      <c r="K19" s="13"/>
      <c r="L19" s="58"/>
      <c r="M19" s="13"/>
      <c r="N19" s="14"/>
      <c r="O19" s="15"/>
      <c r="P19" s="15"/>
    </row>
    <row r="20" spans="2:16" s="11" customFormat="1" ht="12.75" x14ac:dyDescent="0.2">
      <c r="B20" s="56"/>
      <c r="C20" s="57"/>
      <c r="D20" s="57"/>
      <c r="E20" s="13"/>
      <c r="F20" s="58"/>
      <c r="G20" s="13" t="str">
        <f>IF(F20=""," ",IF(J$2&gt;=DATE(2024,11,1),VLOOKUP(F20,Sites!$A:$B,3,FALSE),VLOOKUP(F20,Sites!$A:$A,2,FALSE)))</f>
        <v xml:space="preserve"> </v>
      </c>
      <c r="H20" s="58"/>
      <c r="I20" s="13" t="str">
        <f>IF(H20="", "", IF(E$3&lt;=7, VLOOKUP(H20, Transfers!$A:$D, 2, FALSE),
                   IF(E$3&lt;=15, VLOOKUP(H20, Transfers!$A:$D, 3, FALSE),
                      VLOOKUP(H20, Transfers!$A:$D, 4, FALSE))))</f>
        <v/>
      </c>
      <c r="J20" s="58"/>
      <c r="K20" s="13"/>
      <c r="L20" s="58"/>
      <c r="M20" s="13"/>
      <c r="N20" s="14"/>
      <c r="O20" s="15"/>
      <c r="P20" s="59"/>
    </row>
    <row r="21" spans="2:16" s="11" customFormat="1" ht="12.75" x14ac:dyDescent="0.2">
      <c r="B21" s="12"/>
      <c r="C21" s="13"/>
      <c r="D21" s="13"/>
      <c r="E21" s="13"/>
      <c r="F21" s="58"/>
      <c r="G21" s="13" t="str">
        <f>IF(F21=""," ",IF(J$2&gt;=DATE(2024,11,1),VLOOKUP(F21,Sites!$A:$B,3,FALSE),VLOOKUP(F21,Sites!$A:$A,2,FALSE)))</f>
        <v xml:space="preserve"> </v>
      </c>
      <c r="I21" s="13" t="str">
        <f>IF(H21="", "", IF(E$3&lt;=7, VLOOKUP(H21, Transfers!$A:$D, 2, FALSE),
                   IF(E$3&lt;=15, VLOOKUP(H21, Transfers!$A:$D, 3, FALSE),
                      VLOOKUP(H21, Transfers!$A:$D, 4, FALSE))))</f>
        <v/>
      </c>
      <c r="J21" s="58"/>
      <c r="K21" s="13"/>
      <c r="L21" s="58"/>
      <c r="M21" s="13"/>
      <c r="N21" s="14"/>
      <c r="O21" s="15"/>
      <c r="P21" s="15"/>
    </row>
    <row r="22" spans="2:16" s="11" customFormat="1" ht="12.75" x14ac:dyDescent="0.2">
      <c r="B22" s="12"/>
      <c r="C22" s="13"/>
      <c r="D22" s="13"/>
      <c r="E22" s="13"/>
      <c r="G22" s="13" t="str">
        <f>IF(F22=""," ",IF(J$2&gt;=DATE(2024,11,1),VLOOKUP(F22,Sites!$A:$B,3,FALSE),VLOOKUP(F22,Sites!$A:$A,2,FALSE)))</f>
        <v xml:space="preserve"> </v>
      </c>
      <c r="H22" s="58"/>
      <c r="I22" s="13" t="str">
        <f>IF(H22="", "", IF(E$3&lt;=7, VLOOKUP(H22, Transfers!$A:$D, 2, FALSE),
                   IF(E$3&lt;=15, VLOOKUP(H22, Transfers!$A:$D, 3, FALSE),
                      VLOOKUP(H22, Transfers!$A:$D, 4, FALSE))))</f>
        <v/>
      </c>
      <c r="J22" s="58"/>
      <c r="K22" s="13"/>
      <c r="L22" s="58"/>
      <c r="M22" s="13"/>
      <c r="N22" s="14"/>
      <c r="O22" s="15"/>
      <c r="P22" s="15"/>
    </row>
    <row r="23" spans="2:16" s="11" customFormat="1" ht="12.75" x14ac:dyDescent="0.2">
      <c r="B23" s="12"/>
      <c r="C23" s="13"/>
      <c r="D23" s="13"/>
      <c r="E23" s="13"/>
      <c r="G23" s="13" t="str">
        <f>IF(F23=""," ",IF(J$2&gt;=DATE(2024,11,1),VLOOKUP(F23,Sites!$A:$B,3,FALSE),VLOOKUP(F23,Sites!$A:$A,2,FALSE)))</f>
        <v xml:space="preserve"> </v>
      </c>
      <c r="H23" s="58"/>
      <c r="I23" s="13" t="str">
        <f>IF(H23="", "", IF(E$3&lt;=7, VLOOKUP(H23, Transfers!$A:$D, 2, FALSE),
                   IF(E$3&lt;=15, VLOOKUP(H23, Transfers!$A:$D, 3, FALSE),
                      VLOOKUP(H23, Transfers!$A:$D, 4, FALSE))))</f>
        <v/>
      </c>
      <c r="J23" s="58"/>
      <c r="K23" s="13"/>
      <c r="L23" s="58"/>
      <c r="M23" s="13"/>
      <c r="N23" s="14"/>
      <c r="O23" s="15"/>
      <c r="P23" s="15"/>
    </row>
    <row r="24" spans="2:16" s="11" customFormat="1" ht="12.75" x14ac:dyDescent="0.2">
      <c r="B24" s="12"/>
      <c r="C24" s="13"/>
      <c r="D24" s="13"/>
      <c r="E24" s="13"/>
      <c r="G24" s="13" t="str">
        <f>IF(F24=""," ",IF(J$2&gt;=DATE(2024,11,1),VLOOKUP(F24,Sites!$A:$B,3,FALSE),VLOOKUP(F24,Sites!$A:$A,2,FALSE)))</f>
        <v xml:space="preserve"> </v>
      </c>
      <c r="H24" s="58"/>
      <c r="I24" s="13" t="str">
        <f>IF(H24="", "", IF(E$3&lt;=7, VLOOKUP(H24, Transfers!$A:$D, 2, FALSE),
                   IF(E$3&lt;=15, VLOOKUP(H24, Transfers!$A:$D, 3, FALSE),
                      VLOOKUP(H24, Transfers!$A:$D, 4, FALSE))))</f>
        <v/>
      </c>
      <c r="J24" s="58"/>
      <c r="K24" s="13"/>
      <c r="L24" s="58"/>
      <c r="M24" s="13"/>
      <c r="N24" s="14"/>
      <c r="O24" s="15"/>
      <c r="P24" s="15"/>
    </row>
    <row r="25" spans="2:16" s="11" customFormat="1" ht="12.75" x14ac:dyDescent="0.2">
      <c r="B25" s="12"/>
      <c r="C25" s="13"/>
      <c r="D25" s="13"/>
      <c r="E25" s="13"/>
      <c r="G25" s="13" t="str">
        <f>IF(F25=""," ",IF(J$2&gt;=DATE(2024,11,1),VLOOKUP(F25,Sites!$A:$B,3,FALSE),VLOOKUP(F25,Sites!$A:$A,2,FALSE)))</f>
        <v xml:space="preserve"> </v>
      </c>
      <c r="I25" s="13" t="str">
        <f>IF(H25="", "", IF(E$3&lt;=7, VLOOKUP(H25, Transfers!$A:$D, 2, FALSE),
                   IF(E$3&lt;=15, VLOOKUP(H25, Transfers!$A:$D, 3, FALSE),
                      VLOOKUP(H25, Transfers!$A:$D, 4, FALSE))))</f>
        <v/>
      </c>
      <c r="J25" s="58"/>
      <c r="K25" s="13"/>
      <c r="L25" s="58"/>
      <c r="M25" s="13"/>
      <c r="N25" s="14"/>
      <c r="O25" s="15"/>
      <c r="P25" s="15"/>
    </row>
    <row r="26" spans="2:16" s="11" customFormat="1" ht="12.75" x14ac:dyDescent="0.2">
      <c r="B26" s="12"/>
      <c r="C26" s="13"/>
      <c r="D26" s="13"/>
      <c r="E26" s="13"/>
      <c r="G26" s="13" t="str">
        <f>IF(F26=""," ",IF(J$2&gt;=DATE(2024,11,1),VLOOKUP(F26,Sites!$A:$B,3,FALSE),VLOOKUP(F26,Sites!$A:$A,2,FALSE)))</f>
        <v xml:space="preserve"> </v>
      </c>
      <c r="I26" s="13" t="str">
        <f>IF(H26="", "", IF(E$3&lt;=7, VLOOKUP(H26, Transfers!$A:$D, 2, FALSE),
                   IF(E$3&lt;=15, VLOOKUP(H26, Transfers!$A:$D, 3, FALSE),
                      VLOOKUP(H26, Transfers!$A:$D, 4, FALSE))))</f>
        <v/>
      </c>
      <c r="J26" s="58"/>
      <c r="K26" s="13"/>
      <c r="L26" s="58"/>
      <c r="M26" s="13"/>
      <c r="N26" s="14"/>
      <c r="O26" s="15"/>
      <c r="P26" s="59"/>
    </row>
    <row r="27" spans="2:16" s="11" customFormat="1" ht="12.75" x14ac:dyDescent="0.2">
      <c r="B27" s="12"/>
      <c r="C27" s="13"/>
      <c r="D27" s="13"/>
      <c r="E27" s="13"/>
      <c r="G27" s="13" t="str">
        <f>IF(F27=""," ",IF(J$2&gt;=DATE(2024,11,1),VLOOKUP(F27,Sites!$A:$B,3,FALSE),VLOOKUP(F27,Sites!$A:$A,2,FALSE)))</f>
        <v xml:space="preserve"> </v>
      </c>
      <c r="I27" s="13" t="str">
        <f>IF(H27="", "", IF(E$3&lt;=7, VLOOKUP(H27, Transfers!$A:$D, 2, FALSE),
                   IF(E$3&lt;=15, VLOOKUP(H27, Transfers!$A:$D, 3, FALSE),
                      VLOOKUP(H27, Transfers!$A:$D, 4, FALSE))))</f>
        <v/>
      </c>
      <c r="J27" s="58"/>
      <c r="K27" s="13"/>
      <c r="L27" s="58"/>
      <c r="M27" s="13"/>
      <c r="N27" s="14"/>
      <c r="O27" s="15"/>
      <c r="P27" s="59"/>
    </row>
    <row r="28" spans="2:16" s="11" customFormat="1" ht="12.75" x14ac:dyDescent="0.2">
      <c r="B28" s="12"/>
      <c r="C28" s="13"/>
      <c r="D28" s="13"/>
      <c r="E28" s="13"/>
      <c r="G28" s="13" t="str">
        <f>IF(F28=""," ",IF(J$2&gt;=DATE(2024,11,1),VLOOKUP(F28,Sites!$A:$B,3,FALSE),VLOOKUP(F28,Sites!$A:$A,2,FALSE)))</f>
        <v xml:space="preserve"> </v>
      </c>
      <c r="I28" s="13" t="str">
        <f>IF(H28="", "", IF(E$3&lt;=7, VLOOKUP(H28, Transfers!$A:$D, 2, FALSE),
                   IF(E$3&lt;=15, VLOOKUP(H28, Transfers!$A:$D, 3, FALSE),
                      VLOOKUP(H28, Transfers!$A:$D, 4, FALSE))))</f>
        <v/>
      </c>
      <c r="J28" s="58"/>
      <c r="K28" s="13"/>
      <c r="L28" s="58"/>
      <c r="M28" s="13"/>
      <c r="N28" s="14"/>
      <c r="O28" s="15"/>
      <c r="P28" s="59"/>
    </row>
    <row r="29" spans="2:16" s="11" customFormat="1" ht="12.75" x14ac:dyDescent="0.2">
      <c r="B29" s="12"/>
      <c r="C29" s="13"/>
      <c r="D29" s="13"/>
      <c r="E29" s="13"/>
      <c r="G29" s="13" t="str">
        <f>IF(F29=""," ",IF(J$2&gt;=DATE(2024,11,1),VLOOKUP(F29,Sites!$A:$B,3,FALSE),VLOOKUP(F29,Sites!$A:$A,2,FALSE)))</f>
        <v xml:space="preserve"> </v>
      </c>
      <c r="I29" s="13" t="str">
        <f>IF(H29="", "", IF(E$3&lt;=7, VLOOKUP(H29, Transfers!$A:$D, 2, FALSE),
                   IF(E$3&lt;=15, VLOOKUP(H29, Transfers!$A:$D, 3, FALSE),
                      VLOOKUP(H29, Transfers!$A:$D, 4, FALSE))))</f>
        <v/>
      </c>
      <c r="J29" s="58"/>
      <c r="K29" s="13"/>
      <c r="L29" s="58"/>
      <c r="M29" s="13"/>
      <c r="N29" s="14"/>
      <c r="O29" s="15"/>
      <c r="P29" s="59"/>
    </row>
    <row r="30" spans="2:16" s="11" customFormat="1" ht="12.75" x14ac:dyDescent="0.2">
      <c r="B30" s="12"/>
      <c r="C30" s="13"/>
      <c r="D30" s="13"/>
      <c r="E30" s="13"/>
      <c r="G30" s="13" t="str">
        <f>IF(F30=""," ",IF(J$2&gt;=DATE(2024,11,1),VLOOKUP(F30,Sites!$A:$B,3,FALSE),VLOOKUP(F30,Sites!$A:$A,2,FALSE)))</f>
        <v xml:space="preserve"> </v>
      </c>
      <c r="I30" s="13" t="str">
        <f>IF(H30="", "", IF(E$3&lt;=7, VLOOKUP(H30, Transfers!$A:$D, 2, FALSE),
                   IF(E$3&lt;=15, VLOOKUP(H30, Transfers!$A:$D, 3, FALSE),
                      VLOOKUP(H30, Transfers!$A:$D, 4, FALSE))))</f>
        <v/>
      </c>
      <c r="J30" s="58"/>
      <c r="K30" s="13"/>
      <c r="L30" s="58"/>
      <c r="M30" s="13"/>
      <c r="N30" s="14"/>
      <c r="O30" s="15"/>
      <c r="P30" s="59"/>
    </row>
    <row r="31" spans="2:16" s="11" customFormat="1" ht="12.75" x14ac:dyDescent="0.2">
      <c r="B31" s="12"/>
      <c r="C31" s="13"/>
      <c r="D31" s="13"/>
      <c r="E31" s="13"/>
      <c r="G31" s="13" t="str">
        <f>IF(F31=""," ",IF(J$2&gt;=DATE(2024,11,1),VLOOKUP(F31,Sites!$A:$B,3,FALSE),VLOOKUP(F31,Sites!$A:$A,2,FALSE)))</f>
        <v xml:space="preserve"> </v>
      </c>
      <c r="I31" s="13" t="str">
        <f>IF(H31="", "", IF(E$3&lt;=7, VLOOKUP(H31, Transfers!$A:$D, 2, FALSE),
                   IF(E$3&lt;=15, VLOOKUP(H31, Transfers!$A:$D, 3, FALSE),
                      VLOOKUP(H31, Transfers!$A:$D, 4, FALSE))))</f>
        <v/>
      </c>
      <c r="J31" s="58"/>
      <c r="K31" s="13"/>
      <c r="L31" s="58"/>
      <c r="M31" s="13"/>
      <c r="N31" s="14"/>
      <c r="O31" s="15"/>
      <c r="P31" s="59"/>
    </row>
    <row r="32" spans="2:16" s="11" customFormat="1" ht="12.75" x14ac:dyDescent="0.2">
      <c r="B32" s="12"/>
      <c r="C32" s="13"/>
      <c r="D32" s="13"/>
      <c r="E32" s="13"/>
      <c r="G32" s="13" t="str">
        <f>IF(F32=""," ",IF(J$2&gt;=DATE(2024,11,1),VLOOKUP(F32,Sites!$A:$B,3,FALSE),VLOOKUP(F32,Sites!$A:$A,2,FALSE)))</f>
        <v xml:space="preserve"> </v>
      </c>
      <c r="I32" s="13" t="str">
        <f>IF(H32="", "", IF(E$3&lt;=7, VLOOKUP(H32, Transfers!$A:$D, 2, FALSE),
                   IF(E$3&lt;=15, VLOOKUP(H32, Transfers!$A:$D, 3, FALSE),
                      VLOOKUP(H32, Transfers!$A:$D, 4, FALSE))))</f>
        <v/>
      </c>
      <c r="J32" s="58"/>
      <c r="K32" s="13"/>
      <c r="L32" s="58"/>
      <c r="M32" s="13"/>
      <c r="N32" s="14"/>
      <c r="O32" s="15"/>
      <c r="P32" s="59"/>
    </row>
    <row r="33" spans="2:16" s="11" customFormat="1" ht="12.75" x14ac:dyDescent="0.2">
      <c r="B33" s="12"/>
      <c r="C33" s="13"/>
      <c r="D33" s="13"/>
      <c r="E33" s="13"/>
      <c r="G33" s="13" t="str">
        <f>IF(F33=""," ",IF(J$2&gt;=DATE(2024,11,1),VLOOKUP(F33,Sites!$A:$B,3,FALSE),VLOOKUP(F33,Sites!$A:$A,2,FALSE)))</f>
        <v xml:space="preserve"> </v>
      </c>
      <c r="I33" s="13" t="str">
        <f>IF(H33="", "", IF(E$3&lt;=7, VLOOKUP(H33, Transfers!$A:$D, 2, FALSE),
                   IF(E$3&lt;=15, VLOOKUP(H33, Transfers!$A:$D, 3, FALSE),
                      VLOOKUP(H33, Transfers!$A:$D, 4, FALSE))))</f>
        <v/>
      </c>
      <c r="J33" s="58"/>
      <c r="K33" s="13"/>
      <c r="L33" s="58"/>
      <c r="M33" s="13"/>
      <c r="N33" s="14"/>
      <c r="O33" s="15"/>
      <c r="P33" s="59"/>
    </row>
    <row r="34" spans="2:16" s="11" customFormat="1" ht="12.75" x14ac:dyDescent="0.2">
      <c r="B34" s="12"/>
      <c r="C34" s="13"/>
      <c r="D34" s="13"/>
      <c r="E34" s="13"/>
      <c r="G34" s="13" t="str">
        <f>IF(F34=""," ",IF(J$2&gt;=DATE(2024,11,1),VLOOKUP(F34,Sites!$A:$B,3,FALSE),VLOOKUP(F34,Sites!$A:$A,2,FALSE)))</f>
        <v xml:space="preserve"> </v>
      </c>
      <c r="I34" s="13" t="str">
        <f>IF(H34="", "", IF(E$3&lt;=7, VLOOKUP(H34, Transfers!$A:$D, 2, FALSE),
                   IF(E$3&lt;=15, VLOOKUP(H34, Transfers!$A:$D, 3, FALSE),
                      VLOOKUP(H34, Transfers!$A:$D, 4, FALSE))))</f>
        <v/>
      </c>
      <c r="J34" s="58"/>
      <c r="K34" s="13"/>
      <c r="L34" s="58"/>
      <c r="M34" s="13"/>
      <c r="N34" s="14"/>
      <c r="O34" s="15"/>
      <c r="P34" s="59"/>
    </row>
    <row r="35" spans="2:16" s="11" customFormat="1" ht="12.75" x14ac:dyDescent="0.2">
      <c r="B35" s="12"/>
      <c r="C35" s="13"/>
      <c r="D35" s="13"/>
      <c r="E35" s="13"/>
      <c r="F35" s="58"/>
      <c r="G35" s="13" t="str">
        <f>IF(F35=""," ",IF(J$2&gt;=DATE(2024,11,1),VLOOKUP(F35,Sites!$A:$B,3,FALSE),VLOOKUP(F35,Sites!$A:$A,2,FALSE)))</f>
        <v xml:space="preserve"> </v>
      </c>
      <c r="I35" s="13" t="str">
        <f>IF(H35="", "", IF(E$3&lt;=7, VLOOKUP(H35, Transfers!$A:$D, 2, FALSE),
                   IF(E$3&lt;=15, VLOOKUP(H35, Transfers!$A:$D, 3, FALSE),
                      VLOOKUP(H35, Transfers!$A:$D, 4, FALSE))))</f>
        <v/>
      </c>
      <c r="J35" s="58"/>
      <c r="K35" s="13"/>
      <c r="L35" s="58"/>
      <c r="M35" s="13"/>
      <c r="N35" s="14"/>
      <c r="O35" s="15"/>
      <c r="P35" s="59"/>
    </row>
    <row r="36" spans="2:16" s="11" customFormat="1" ht="12.75" x14ac:dyDescent="0.2">
      <c r="B36" s="12"/>
      <c r="C36" s="13"/>
      <c r="D36" s="13"/>
      <c r="E36" s="13"/>
      <c r="F36" s="58"/>
      <c r="G36" s="13" t="str">
        <f>IF(F36=""," ",IF(J$2&gt;=DATE(2024,11,1),VLOOKUP(F36,Sites!$A:$B,3,FALSE),VLOOKUP(F36,Sites!$A:$A,2,FALSE)))</f>
        <v xml:space="preserve"> </v>
      </c>
      <c r="I36" s="13" t="str">
        <f>IF(H36="", "", IF(E$3&lt;=7, VLOOKUP(H36, Transfers!$A:$D, 2, FALSE),
                   IF(E$3&lt;=15, VLOOKUP(H36, Transfers!$A:$D, 3, FALSE),
                      VLOOKUP(H36, Transfers!$A:$D, 4, FALSE))))</f>
        <v/>
      </c>
      <c r="J36" s="58"/>
      <c r="K36" s="13"/>
      <c r="L36" s="58"/>
      <c r="M36" s="13"/>
      <c r="N36" s="14"/>
      <c r="O36" s="15"/>
      <c r="P36" s="59"/>
    </row>
    <row r="37" spans="2:16" s="11" customFormat="1" ht="12.75" x14ac:dyDescent="0.2">
      <c r="B37" s="12"/>
      <c r="C37" s="13"/>
      <c r="D37" s="13"/>
      <c r="E37" s="13"/>
      <c r="F37" s="58"/>
      <c r="G37" s="13" t="str">
        <f>IF(F37=""," ",IF(J$2&gt;=DATE(2024,11,1),VLOOKUP(F37,Sites!$A:$B,3,FALSE),VLOOKUP(F37,Sites!$A:$A,2,FALSE)))</f>
        <v xml:space="preserve"> </v>
      </c>
      <c r="I37" s="13" t="str">
        <f>IF(H37="", "", IF(E$3&lt;=7, VLOOKUP(H37, Transfers!$A:$D, 2, FALSE),
                   IF(E$3&lt;=15, VLOOKUP(H37, Transfers!$A:$D, 3, FALSE),
                      VLOOKUP(H37, Transfers!$A:$D, 4, FALSE))))</f>
        <v/>
      </c>
      <c r="J37" s="58"/>
      <c r="K37" s="13"/>
      <c r="L37" s="58"/>
      <c r="M37" s="13"/>
      <c r="N37" s="14"/>
      <c r="O37" s="15"/>
      <c r="P37" s="59"/>
    </row>
    <row r="38" spans="2:16" s="11" customFormat="1" ht="12.75" x14ac:dyDescent="0.2">
      <c r="B38" s="12"/>
      <c r="C38" s="60"/>
      <c r="D38" s="60"/>
      <c r="E38" s="60"/>
      <c r="F38" s="63"/>
      <c r="G38" s="13" t="str">
        <f>IF(F38=""," ",IF(J$2&gt;=DATE(2024,11,1),VLOOKUP(F38,Sites!$A:$B,3,FALSE),VLOOKUP(F38,Sites!$A:$A,2,FALSE)))</f>
        <v xml:space="preserve"> </v>
      </c>
      <c r="I38" s="13" t="str">
        <f>IF(H38="", "", IF(E$3&lt;=7, VLOOKUP(H38, Transfers!$A:$D, 2, FALSE),
                   IF(E$3&lt;=15, VLOOKUP(H38, Transfers!$A:$D, 3, FALSE),
                      VLOOKUP(H38, Transfers!$A:$D, 4, FALSE))))</f>
        <v/>
      </c>
      <c r="J38" s="58"/>
      <c r="K38" s="13"/>
      <c r="L38" s="58"/>
      <c r="M38" s="13"/>
      <c r="N38" s="14"/>
      <c r="O38" s="15"/>
      <c r="P38" s="15"/>
    </row>
    <row r="39" spans="2:16" x14ac:dyDescent="0.2">
      <c r="B39" s="51"/>
      <c r="C39" s="62">
        <f>IF((COUNTA(B10:B36)=0),0,SUM(C10:C38))</f>
        <v>0</v>
      </c>
      <c r="D39" s="61">
        <f>IF((D10)=0,"  ",SUM(D10:D38))</f>
        <v>0</v>
      </c>
      <c r="E39" s="61" t="str">
        <f>IF((E10)=0,"  ",SUM(E10:E38))</f>
        <v xml:space="preserve">  </v>
      </c>
      <c r="F39" s="62"/>
      <c r="G39" s="64">
        <f>IF((G10)=0,"  ",SUM(G10:G38)/(M2))</f>
        <v>0</v>
      </c>
      <c r="H39" s="53"/>
      <c r="I39" s="54">
        <f>IF((G10)=" ",0,SUM(I10:I38)/$M$2/$E$3)</f>
        <v>0</v>
      </c>
      <c r="J39" s="53"/>
      <c r="K39" s="52">
        <f>IF((K10)=0,0,SUM(K10:K38)/(M2))</f>
        <v>0</v>
      </c>
      <c r="L39" s="53"/>
      <c r="M39" s="54">
        <f>IF((L10)=0,"  ",SUM(M10:M38)/$M$2/$E$3)</f>
        <v>117.40041928721173</v>
      </c>
      <c r="N39" s="54">
        <f>IF((M10)=" ","  ",SUM(N10:N38)/$E$3)</f>
        <v>0</v>
      </c>
      <c r="O39" s="10"/>
      <c r="P39" s="10"/>
    </row>
    <row r="41" spans="2:16" s="3" customFormat="1" ht="15.75" x14ac:dyDescent="0.25">
      <c r="B41" s="103" t="s">
        <v>24</v>
      </c>
      <c r="C41" s="104"/>
      <c r="D41" s="78"/>
      <c r="E41" s="33"/>
      <c r="F41" s="34" t="s">
        <v>25</v>
      </c>
      <c r="H41" s="20" t="s">
        <v>26</v>
      </c>
      <c r="I41" s="20" t="s">
        <v>27</v>
      </c>
      <c r="J41" s="21"/>
      <c r="K41" s="21"/>
      <c r="L41" s="21"/>
      <c r="M41" s="22"/>
    </row>
    <row r="42" spans="2:16" s="11" customFormat="1" ht="15" customHeight="1" x14ac:dyDescent="0.2">
      <c r="B42" s="100" t="s">
        <v>28</v>
      </c>
      <c r="C42" s="101"/>
      <c r="D42" s="77"/>
      <c r="E42" s="65" t="s">
        <v>29</v>
      </c>
      <c r="F42" s="71">
        <f>C39+G39+I39+K39+M39+N39+M3</f>
        <v>117.40041928721173</v>
      </c>
      <c r="H42" s="17" t="s">
        <v>30</v>
      </c>
      <c r="I42" s="102"/>
      <c r="J42" s="102"/>
      <c r="K42" s="15"/>
      <c r="L42" s="15"/>
      <c r="M42" s="23"/>
    </row>
    <row r="43" spans="2:16" s="11" customFormat="1" ht="15" customHeight="1" x14ac:dyDescent="0.2">
      <c r="B43" s="100" t="s">
        <v>31</v>
      </c>
      <c r="C43" s="101"/>
      <c r="D43" s="77"/>
      <c r="E43" s="24" t="s">
        <v>29</v>
      </c>
      <c r="F43" s="25">
        <f>D39</f>
        <v>0</v>
      </c>
      <c r="I43" s="15"/>
      <c r="J43" s="15"/>
      <c r="K43" s="15"/>
      <c r="L43" s="15"/>
      <c r="M43" s="26"/>
    </row>
    <row r="44" spans="2:16" ht="15" customHeight="1" x14ac:dyDescent="0.2">
      <c r="B44" s="92" t="s">
        <v>32</v>
      </c>
      <c r="C44" s="93"/>
      <c r="D44" s="75"/>
      <c r="E44" s="24" t="s">
        <v>29</v>
      </c>
      <c r="F44" s="19" t="str">
        <f>E39</f>
        <v xml:space="preserve">  </v>
      </c>
      <c r="G44" s="7"/>
      <c r="H44" s="7"/>
      <c r="I44" s="10"/>
      <c r="J44" s="10"/>
      <c r="K44" s="10"/>
      <c r="L44" s="10"/>
      <c r="M44" s="18"/>
      <c r="N44" s="7"/>
    </row>
    <row r="45" spans="2:16" s="3" customFormat="1" x14ac:dyDescent="0.2">
      <c r="B45" s="4"/>
      <c r="C45" s="4"/>
      <c r="D45" s="4"/>
      <c r="H45" s="4"/>
      <c r="I45" s="4"/>
      <c r="J45" s="4"/>
      <c r="K45" s="4"/>
      <c r="L45" s="4"/>
      <c r="M45" s="4"/>
      <c r="N45" s="4"/>
      <c r="O45" s="4"/>
    </row>
    <row r="46" spans="2:16" x14ac:dyDescent="0.2">
      <c r="E46" s="4"/>
      <c r="I46" s="4"/>
      <c r="J46" s="4"/>
    </row>
  </sheetData>
  <dataConsolidate/>
  <mergeCells count="14">
    <mergeCell ref="B43:C43"/>
    <mergeCell ref="B44:C44"/>
    <mergeCell ref="L6:N6"/>
    <mergeCell ref="C7:E7"/>
    <mergeCell ref="M7:N7"/>
    <mergeCell ref="B41:C41"/>
    <mergeCell ref="B42:C42"/>
    <mergeCell ref="I42:J42"/>
    <mergeCell ref="J6:K6"/>
    <mergeCell ref="B1:G1"/>
    <mergeCell ref="B6:E6"/>
    <mergeCell ref="F6:G6"/>
    <mergeCell ref="H6:I6"/>
    <mergeCell ref="B4:N5"/>
  </mergeCells>
  <printOptions horizontalCentered="1"/>
  <pageMargins left="0.23622047244094499" right="0.23622047244094499" top="0.511811023622047" bottom="0.55118110236220497" header="0.23622047244094499" footer="0.27559055118110198"/>
  <pageSetup paperSize="9" scale="93" orientation="landscape" horizontalDpi="4294967294" r:id="rId1"/>
  <headerFooter alignWithMargins="0">
    <oddFooter>&amp;L&amp;"Andalus,常规"&amp;F&amp;R&amp;"Andalus,倾斜"&amp;A     &amp;D</oddFooter>
  </headerFooter>
  <colBreaks count="1" manualBreakCount="1">
    <brk id="13" max="43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Quotation new</vt:lpstr>
      <vt:lpstr>Sites</vt:lpstr>
      <vt:lpstr>Transfers</vt:lpstr>
      <vt:lpstr>Quotation</vt:lpstr>
      <vt:lpstr>Quotation!Print_Area</vt:lpstr>
    </vt:vector>
  </TitlesOfParts>
  <Manager/>
  <Company>Egypt Top Light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"Rasha Bialy" &lt;rashabialy@hotmail.com&gt;</dc:creator>
  <cp:keywords/>
  <dc:description/>
  <cp:lastModifiedBy>Roqya HAMED</cp:lastModifiedBy>
  <cp:revision/>
  <dcterms:created xsi:type="dcterms:W3CDTF">2003-09-07T11:55:45Z</dcterms:created>
  <dcterms:modified xsi:type="dcterms:W3CDTF">2025-09-01T13:43:59Z</dcterms:modified>
  <cp:category/>
  <cp:contentStatus/>
</cp:coreProperties>
</file>